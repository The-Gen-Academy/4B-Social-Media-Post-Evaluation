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ubric" sheetId="1" r:id="rId5"/>
    <sheet state="visible" name="Existing Examples" sheetId="2" r:id="rId6"/>
    <sheet state="visible" name="Evaluation Log" sheetId="3" r:id="rId7"/>
    <sheet state="visible" name="Revised Posts" sheetId="4" r:id="rId8"/>
    <sheet state="visible" name="Comparison" sheetId="5" r:id="rId9"/>
    <sheet state="visible" name="Failure Analysis" sheetId="6" r:id="rId10"/>
    <sheet state="visible" name="Failure Traces" sheetId="7" r:id="rId11"/>
    <sheet state="visible" name="Judge" sheetId="8" r:id="rId12"/>
  </sheets>
  <definedNames/>
  <calcPr/>
</workbook>
</file>

<file path=xl/sharedStrings.xml><?xml version="1.0" encoding="utf-8"?>
<sst xmlns="http://schemas.openxmlformats.org/spreadsheetml/2006/main" count="246" uniqueCount="139">
  <si>
    <t>Test_ID</t>
  </si>
  <si>
    <t>User_Input</t>
  </si>
  <si>
    <t>Model_Output</t>
  </si>
  <si>
    <t>Factual_Correctness</t>
  </si>
  <si>
    <t>Clarity</t>
  </si>
  <si>
    <t>Value_Insight</t>
  </si>
  <si>
    <t>Engagement</t>
  </si>
  <si>
    <t>Tone_Fit</t>
  </si>
  <si>
    <t>Status</t>
  </si>
  <si>
    <t>Human_Feedback</t>
  </si>
  <si>
    <t>Failure_Category</t>
  </si>
  <si>
    <t>POST_004</t>
  </si>
  <si>
    <t>LLM Evaluation Resources Everyone Should Know</t>
  </si>
  <si>
    <t>Dimension</t>
  </si>
  <si>
    <t>If you’re working with LLMs in 2026, evaluation can’t be an afterthought.
The challenge?
There’s *too much* information — blog posts, tools, papers, opinions — and not enough clarity on what actually matters.
Here are **LLM evaluation resources everyone building AI systems should know**:
• Frameworks that help you think beyond accuracy
• Practical guides for evaluating RAG pipelines and retrieval quality
• Tools for using LLMs as judges (and when not to)
• Open-source eval libraries worth exploring
• Checklists that help move evals from experiments to production
The goal isn’t to use *every* resource.
It’s to build a **repeatable evaluation mindset** that fits your system, your risks, and your stage.
Strong evals don’t come from one tool — they come from combining the right mental models, metrics, and workflows.
If you’re serious about shipping reliable AI, start by learning how others evaluate what they build.</t>
  </si>
  <si>
    <t>PASS when…</t>
  </si>
  <si>
    <t>FAIL when…</t>
  </si>
  <si>
    <t>Factual Correctness</t>
  </si>
  <si>
    <t>PASS</t>
  </si>
  <si>
    <t>FAIL</t>
  </si>
  <si>
    <t>Every concrete claim agrees with the approved facts. No invented numbers, dates, quotes, capabilities, links or outcomes.</t>
  </si>
  <si>
    <t>A concrete claim contradicts the approved facts or adds unsupported information.</t>
  </si>
  <si>
    <t>The main point is easy to understand. The writing is coherent, concise and readable without a substantive rewrite.</t>
  </si>
  <si>
    <t>Confusing wording, repetition or poor structure obscures the main point.</t>
  </si>
  <si>
    <t>Value / Insight</t>
  </si>
  <si>
    <t>The post delivers the requested information, example, resource or practical takeaway. Its substance is specific and useful for the stated audience.</t>
  </si>
  <si>
    <t>The post is generic filler, omits requested substance, or promises resources or practical content that are not actually provided.</t>
  </si>
  <si>
    <t>The opening gives the audience a clear reason to read, and the post ends with a relevant, clear call to action or question. If the brief explicitly prohibits a call to action or question, a relevant closing takeaway is sufficient.</t>
  </si>
  <si>
    <t>The opening gives no clear reason to read, or the ending lacks a relevant action or question when one is permitted. Clickbait or an unsupported promise is not a valid hook.</t>
  </si>
  <si>
    <t>Tone Fit</t>
  </si>
  <si>
    <t>The language is professional, accessible and suitable for the stated audience and requested voice.</t>
  </si>
  <si>
    <t>The language is inappropriate for the audience, unnecessarily difficult, condescending or inconsistent with the requested voice.</t>
  </si>
  <si>
    <t>Overall rule</t>
  </si>
  <si>
    <t>All five dimensions PASS = overall PASS. Any FAIL = overall FAIL.</t>
  </si>
  <si>
    <t>A generated post with unfinished reviews shows PENDING. Still review all five dimensions.</t>
  </si>
  <si>
    <t>10-post exercise</t>
  </si>
  <si>
    <t>Invent 10 inputs of your own in Evaluation Log. Include the audience, purpose, requirements and approved facts. Then export that tab as CSV and run the generation workflow.</t>
  </si>
  <si>
    <t>The post content is great if we are supplementing it with an actual list of resources. This seems like good content if we already have the infographic ready. As a standalone post, though, it promises resources but only lists types of resources, without naming any evaluation frameworks, repositories or tutorials. Would have added much more value if it included a few useful names and explained what each is for. The ending is vague; would ideally want people to share resources in the comments.</t>
  </si>
  <si>
    <t>Keep IDs P01–P10. Add an Approved facts: section to each input. Define fictional facts yourself or use verified facts; do not ask the generator to invent them.</t>
  </si>
  <si>
    <t>Low Informational Value</t>
  </si>
  <si>
    <t>POST_001</t>
  </si>
  <si>
    <t>Your review</t>
  </si>
  <si>
    <t>AI Evaluations Workshop Announcement</t>
  </si>
  <si>
    <t>Choose PASS or FAIL for each dimension. Explain failures in Human_Feedback.</t>
  </si>
  <si>
    <t>If source context is missing, leave the affected dimension blank and explain what is needed.</t>
  </si>
  <si>
    <t>Explicit requirements</t>
  </si>
  <si>
    <t>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t>
  </si>
  <si>
    <t>Missing requested content, a required link, word limit or format fails Value / Insight.</t>
  </si>
  <si>
    <t>An unsupported claim fails Factual Correctness. Style cannot offset another dimension’s failure.</t>
  </si>
  <si>
    <t>Rerun</t>
  </si>
  <si>
    <t>P01</t>
  </si>
  <si>
    <t>Preserve Evaluation Log. Save revised outputs and fresh reviews in Revised Posts.</t>
  </si>
  <si>
    <t>Comparison matches Test_ID automatically. Rerun failed posts and at least one previously passing post.</t>
  </si>
  <si>
    <t>Existing examples</t>
  </si>
  <si>
    <t>Start with the 12 worked reviews in Existing Examples. Read the post, feedback, five dimension decisions, overall result and main failure category.</t>
  </si>
  <si>
    <t>Decisions interpret the supplied feedback; original posts and comments are unchanged. A blank factual check means the saved evidence is insufficient. Any known FAIL still makes the post FAIL.</t>
  </si>
  <si>
    <t>The workshop date and time are not mentioned, so readers don't have the basic details they need to decide whether to attend. It is also a bit too wordy for this type of promotional post. I feel like people would not read through the entire thing before getting to the point. Would make the announcement shorter and bring the workshop details and main benefit up front. There is already a CTA to register; a question inviting discussion in the comments could help too, but the missing details and wordy framing are the main problems.</t>
  </si>
  <si>
    <t>Failure category</t>
  </si>
  <si>
    <t>Poor Framing</t>
  </si>
  <si>
    <t>POST_002</t>
  </si>
  <si>
    <t>Evaluating RAG Pipelines: A Framework for Production-Ready Retrieval Systems</t>
  </si>
  <si>
    <t>Use when…</t>
  </si>
  <si>
    <t>Worked example</t>
  </si>
  <si>
    <t>Incorrect or Hallucinated Content</t>
  </si>
  <si>
    <t>RAG systems don’t fail because of the LLM.
They fail because **retrieval quality is poorly understood and rarely evaluated**.
If you’re building Retrieval-Augmented Generation pipelines for production, accuracy alone won’t tell you whether your system actually works.
At The Gen Academy, we think RAG evaluation needs a **clear, structured framework**.
Here’s what a production-ready RAG evaluation should answer:
• Are we retrieving the *right* documents?
• Is retrieval consistent across queries and data drift?
• How much does retrieval quality affect final model outputs?
• Where exactly does the pipeline break: retrieval, grounding, or generation?
Evaluating RAG pipelines means going beyond end-to-end scores and breaking the system into **measurable components**:
retrieval → context quality → answer faithfulness.
When you evaluate each layer independently, debugging becomes faster, iteration becomes intentional, and production failures become preventable.
If you’re serious about shipping reliable RAG systems, your eval strategy needs to mature before your system does.</t>
  </si>
  <si>
    <t>A claim is false, unsupported or invented, including dates, capabilities, statistics or testimonials.</t>
  </si>
  <si>
    <t>POST_012: made-up participant testimonials.</t>
  </si>
  <si>
    <t>The post is generic or lacks the useful examples, resources or practical substance it promises.</t>
  </si>
  <si>
    <t>POST_004: promises evaluation resources but names none.</t>
  </si>
  <si>
    <t>Instruction Non-Compliance</t>
  </si>
  <si>
    <t>The output does a different task or misses an explicit requirement, such as format, required content or a word limit.</t>
  </si>
  <si>
    <t>POST_008: promotional copy instead of the intended cheat sheet.</t>
  </si>
  <si>
    <t>The opening claim is too absolute. There are more reasons why RAG systems fail, so saying they don't fail because of the LLM and only pointing to retrieval is misleading. Would qualify that claim. Could add more value if the actual breakdown of evaluating a RAG system, with example metrics for each part, was included instead of just saying we need a framework. There is no clear call to action. Ideally, we would want to invite people to discuss their RAG failures in production.</t>
  </si>
  <si>
    <t>POST_003</t>
  </si>
  <si>
    <t>Register for our AI Evaluations Workshop Now!</t>
  </si>
  <si>
    <t>The presentation gets in the way: wordy or unclear writing, unsuitable tone, or a weak opening or closing.</t>
  </si>
  <si>
    <t>POST_009: useful content, but no clear closing action or question.</t>
  </si>
  <si>
    <t>Choose one main category</t>
  </si>
  <si>
    <t>You can build powerful AI systems.
But can you *prove* they work?
If you’re deploying LLMs, RAG pipelines, or AI agents, evaluation isn’t optional anymore — it’s what separates demos from production.
🚀 **Registrations are now open for The Gen Academy’s AI Evaluations Workshop.**
In this hands-on session, we’ll cover:
• How to design evaluations for LLMs, RAG systems, and AI agents
• What to measure (and what *not* to)
• Using LLMs as judges — responsibly
• Moving from ad-hoc testing to production-ready eval frameworks
• Common mistakes teams make when evaluating AI systems
This workshop is built for practitioners who want **practical frameworks, clear mental models, and real-world evaluation strategies** — not just theory.
📅 Seats are limited.
👉 Register now and start building AI systems you can trust.</t>
  </si>
  <si>
    <t>Use these categories for your ten new posts. Pick the main problem for each failed post; keep all failed dimension decisions and explain them in your feedback.</t>
  </si>
  <si>
    <t>Failure Analysis counts your own new posts. The worked examples are separate.</t>
  </si>
  <si>
    <t>The date, time and mode of the workshop are missing. For a registration post, I would want those details clearly mentioned. Would also make the intended audience more specific; 'practitioners' is quite broad. The content feels a bit rambly for this category and could get to the point faster. There is already a CTA to register. Encouraging comments or shares could help engagement too, but that is an optional improvement rather than the main issue.</t>
  </si>
  <si>
    <t>POST_005</t>
  </si>
  <si>
    <t>Testing AI Agent Skills: A Framework for Systematic Evaluation</t>
  </si>
  <si>
    <t>AI agents don’t fail randomly.
They fail because specific **skills aren’t being evaluated systematically**.
When teams test agents only with end-to-end success metrics, they miss where things actually break.
At The Gen Academy, we think AI agent evaluation needs a **skill-first framework**.
A systematic approach to testing AI agents asks:
• Can the agent plan effectively?
• Does it choose the right tools at the right time?
• Can it recover from errors and unexpected inputs?
• Does it follow instructions consistently across tasks?
• How does performance change as complexity increases?
Instead of treating agents as black boxes, breaking them down into **testable capabilities** makes evaluation actionable.
Skill-level evaluation helps teams:
• Debug failures faster
• Compare agent architectures meaningfully
• Improve reliability before production
If you’re building agentic systems, your evaluation strategy should evolve with your agents — not lag behind them.</t>
  </si>
  <si>
    <t>I like the way this post is phrased; the questions really get readers thinking. But it promises a framework and doesn't actually show how to break an agent down into testable capabilities or test those capabilities. Would have added more value if there were a concrete example or a few steps readers could use. One thing I don't like is 'At The Gen Academy, we think...'; the post is meant to supply information, not our opinions. There is also no clear closing action or question for the reader.</t>
  </si>
  <si>
    <t>POST_006</t>
  </si>
  <si>
    <t>Join Us For Our AI Evals Workshop on February 15!</t>
  </si>
  <si>
    <t>Building AI systems is getting easier.
Evaluating them properly is not.
If you’re working with LLMs, RAG pipelines, or AI agents, knowing *how* to evaluate them is what separates prototypes from production.
📅 **Join us for The Gen Academy’s AI Evals Workshop on February 15.**
In this session, we’ll focus on:
• Designing evaluation strategies for real-world AI systems
• Evaluating RAG pipelines and retrieval quality
• Testing AI agent skills systematically
• Using LLMs as judges — with the right guardrails
• Avoiding common evaluation mistakes teams make
This workshop is designed for builders who want **practical frameworks, clear mental models, and hands-on evaluation thinking** — not vague metrics.
👉 Seats are limited. Join us on February 15 and start building AI systems you can actually trust.</t>
  </si>
  <si>
    <t>Seats are not limited, so that claim is incorrect. I'm also not sure that we'll cover all the topics the LLM spat out for our workshop. Would check the agenda and only include topics we have confirmed. This is slightly more concise than the previous promotional posts. It doesn't need to provide deep insights into a topic, but it does need accurate workshop details. Could have had a stronger CTA inviting people to comment with what they want to learn; the incorrect claim and unconfirmed topics are the main problems.</t>
  </si>
  <si>
    <t>POST_007</t>
  </si>
  <si>
    <t>LLM Evaluation: Why Testing AI Models Matters</t>
  </si>
  <si>
    <t>It’s easy to get an LLM to produce answers.
It’s much harder to know whether those answers are **reliable, safe, and production-ready**.
This is why **LLM evaluation matters**.
Without systematic testing, teams end up:
• Trusting models they don’t fully understand
• Shipping features that behave unpredictably
• Debugging failures after users experience them
LLM evaluation isn’t just about accuracy scores.
It’s about asking the right questions:
• Does the model follow instructions consistently?
• How does it behave on edge cases?
• Can it explain or justify its outputs?
• How does performance change as prompts, data, or context evolve?
Strong evaluation practices turn LLMs from impressive demos into dependable systems.
If you’re building with AI, testing isn’t a slowdown — it’s what makes progress sustainable.</t>
  </si>
  <si>
    <t>While the content is concise, appropriate and somewhat thought provoking, it stays quite general. It says evaluation matters but doesn't show a specific example of what happens when you don't evaluate LLMs. Would have added more value if it included an industry-specific use case or showed why a gut check would miss a problem. There is no clear closing action or question, so there is little invitation for readers to join the discussion.</t>
  </si>
  <si>
    <t>POST_008</t>
  </si>
  <si>
    <t>AI Evals Cheat Sheet</t>
  </si>
  <si>
    <t>🚀 Unlock the Power of AI Evaluation with The Gen Academy!
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
🔹 Quickly compare model outputs
🔹 Identify biases and weaknesses
🔹 Standardize your evaluation workflow
Get ahead in the AI game and make your evaluations smarter, faster, and more consistent. Grab your cheat sheet today and start leveling up your AI projects! 💡
#AI #MachineLearning #AIEvals #GenAcademy #CheatSheet #AIWorkflow</t>
  </si>
  <si>
    <t>Very poor since the LLM misunderstood the intent of the post in the first place. I would have liked the actual content for an AI evals cheat sheet, with useful checks or steps people could use. Instead, it wrote promotional copy for a separate cheat sheet that we are not distributing. The CTA therefore sends readers to something that isn't available. Tone is not appropriate and the emojis are highly irritating. The output adds little value on its own because none of the promised cheat sheet content is actually included.</t>
  </si>
  <si>
    <t>POST_009</t>
  </si>
  <si>
    <t>Four Questions Your RAG Eval Must Answer</t>
  </si>
  <si>
    <t>P02</t>
  </si>
  <si>
    <t xml:space="preserve">🔍 Evaluating your RAG system? Ask the Right Questions!
A solid RAG (Retrieval-Augmented Generation) evaluation isn’t complete without answering these four critical questions:
1️⃣ **Relevance:** Are the retrieved documents actually answering the query?
2️⃣ **Accuracy:** Is the generated response factually correct?
3️⃣ **Completeness:** Does the answer cover all necessary aspects?
4️⃣ **Efficiency:** How well does the system balance speed and performance?
These questions form the backbone of any robust RAG evaluation, helping you identify gaps, improve retrieval quality, and fine-tune your generation strategy.
💡 Mastering these evaluation metrics ensures your RAG system is not just smart—but reliable.
#AI #RAG #AIEvaluation #GenAcademy #MachineLearning #AIWorkflow                  </t>
  </si>
  <si>
    <t>Content looks accurate and is very close to one of our existing posts, Aishwarya's post about RAG evaluation inspired by a LangChain blog. The four questions are clear and useful. No clear CTA; the post ends with a claim about reliability and hashtags instead of inviting readers to share what they check in their own RAG systems. Tone is mostly suitable. The capital letters in 'Right Questions' are irritating in the middle of a sentence, and 'not just X but Y' is a familiar LLM-generated pattern I would avoid. Those are small wording preferences; the missing invitation to engage is the more useful fix.</t>
  </si>
  <si>
    <t>POST_010</t>
  </si>
  <si>
    <t>LLM-as-Judge Done Right</t>
  </si>
  <si>
    <t>⚖️ LLMs as Judges: Getting It Right
Using LLMs to evaluate AI outputs is powerful—but only if done correctly. Here's how to make your LLM a reliable judge:
1️⃣ **Define Clear Criteria:** Set transparent scoring rules to avoid ambiguity.
2️⃣ **Calibrate Consistency:** Test the LLM across multiple scenarios to ensure stable judgments.
3️⃣ **Mitigate Bias:** Use diverse prompts and perspectives to reduce skewed evaluations.
4️⃣ **Audit and Verify:** Cross-check LLM judgments with human reviewers for trustworthiness.
When leveraged thoughtfully, LLMs can scale evaluation, save time, and provide structured insights that elevate your AI projects.
#AI #LLM #AIEvaluation #GenAcademy #MachineLearning #AIWorkflow</t>
  </si>
  <si>
    <t>P03</t>
  </si>
  <si>
    <t>Great content with clear steps that readers can follow when building an LLM-as-a-Judge pipeline. Would add value to someone implementing LLM-J, and the tone is appropriate. The main thing missing is a clear CTA or closing question. It finishes with a general statement about the benefits and then hashtags, without giving readers a next step or inviting them to discuss how they check their own judges.</t>
  </si>
  <si>
    <t>POST_011</t>
  </si>
  <si>
    <t>From 0 to Production Evals in One Week</t>
  </si>
  <si>
    <t>🚀 From 0 to Production-Ready AI Evals in Just One Week!
Think building a robust evaluation pipeline takes months? Think again. With the right approach, tools, and guidance, you can go from concept to production-ready AI evaluations in just 7 days. Here’s how:
🔹 **Day 1–2:** Define evaluation goals and metrics
🔹 **Day 3–4:** Set up data pipelines and test datasets
🔹 **Day 5:** Integrate evaluation frameworks
🔹 **Day 6:** Run initial tests and refine workflows
🔹 **Day 7:** Deploy and monitor production evaluations
Speed doesn’t mean cutting corners—it means working smarter, automating where possible, and focusing on what truly matters. Ready to accelerate your AI evaluation journey? Let’s make it happen! 💡
#AI #AIEvaluation #MachineLearning #GenAcademy #ProductionReady #AIWorkflow</t>
  </si>
  <si>
    <t>P04</t>
  </si>
  <si>
    <t>Provides clear steps to build an eval pipeline, although I'm not sure these steps are realistically possible in seven days. The post presents production readiness in a week as something readers can expect, without any evidence for that timeline. Evaluation can be more nuanced and require iteration. Would present this as an example one-week starting plan rather than promising a production-ready system. The CTA works, and the outline would add value to someone learning the steps involved once that claim is qualified.</t>
  </si>
  <si>
    <t>POST_012</t>
  </si>
  <si>
    <t>Here's What People Have to Say About Our AI Evals Workshop!</t>
  </si>
  <si>
    <t>The verdict is in... 🥁
We recently wrapped up our latest AI Evals Workshop at The Gen Academy, and the feedback has been nothing short of inspiring.
When we designed this curriculum, our goal was simple: help you move beyond 'vibes-based' testing and give you rigorous, actionable evaluation frameworks for your LLM applications.
Here is what our recent participants had to say:
💬 \"Finally, I have a structure for the chaos. The section on LLM-as-a-Judge changed my entire workflow.\"
💬 \"Practical, hands-on, and zero fluff. I deployed a new eval pipeline the next day.\"
💬 \"I stopped guessing if my RAG system was improving and started actually measuring it.\"
Building reliable AI isn't just about better prompting—it's about better testing. We are incredibly proud to see our students shipping with confidence.
Want to join them? 
🔗 Secure your spot in our next cohort here: [Insert Link]
#AIEvals #LLM #GenerativeAI #TheGenAcademy #AITesting #EngineeringExcellence</t>
  </si>
  <si>
    <t>P05</t>
  </si>
  <si>
    <t>The LLM made up testimonials, which is not acceptable. The quotes and the claim that a participant deployed an eval pipeline the next day need to come from actual participant feedback; we shouldn't invent them to make the workshop sound good. Tone is otherwise appropriate, although I would prefer no hashtags or emojis for this type of post. The CTA at the end is clear. The invented testimonials are the main problem here.</t>
  </si>
  <si>
    <t>P06</t>
  </si>
  <si>
    <t>P07</t>
  </si>
  <si>
    <t>P08</t>
  </si>
  <si>
    <t>P09</t>
  </si>
  <si>
    <t>P10</t>
  </si>
  <si>
    <t>Original_Status</t>
  </si>
  <si>
    <t>Revised_Status</t>
  </si>
  <si>
    <t>Outcome</t>
  </si>
  <si>
    <t>Category</t>
  </si>
  <si>
    <t>Count</t>
  </si>
  <si>
    <t>Suggested_Fix</t>
  </si>
  <si>
    <t>Evidence</t>
  </si>
  <si>
    <t>Likely_Cause</t>
  </si>
  <si>
    <t>Proposed_Fix</t>
  </si>
  <si>
    <t>Historical critique: 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t>
  </si>
  <si>
    <t>Human_Status</t>
  </si>
  <si>
    <t>Jev_Status</t>
  </si>
  <si>
    <t>LLM_Status</t>
  </si>
  <si>
    <t>LLM_Reason</t>
  </si>
  <si>
    <t>Run_Status</t>
  </si>
  <si>
    <t>Review_Notes</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</si>
</sst>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rgb="FF000000"/>
      <name val="Carlito"/>
      <scheme val="minor"/>
    </font>
    <font>
      <b/>
      <sz val="11.0"/>
      <color rgb="FFFFFFFF"/>
      <name val="Arial"/>
    </font>
    <font>
      <sz val="11.0"/>
      <color theme="1"/>
      <name val="Arial"/>
    </font>
    <font>
      <b/>
      <sz val="11.0"/>
      <color theme="1"/>
      <name val="Arial"/>
    </font>
  </fonts>
  <fills count="6">
    <fill>
      <patternFill patternType="none"/>
    </fill>
    <fill>
      <patternFill patternType="lightGray"/>
    </fill>
    <fill>
      <patternFill patternType="solid">
        <fgColor rgb="FF1E3A50"/>
        <bgColor rgb="FF1E3A50"/>
      </patternFill>
    </fill>
    <fill>
      <patternFill patternType="solid">
        <fgColor rgb="FFFFF9E8"/>
        <bgColor rgb="FFFFF9E8"/>
      </patternFill>
    </fill>
    <fill>
      <patternFill patternType="solid">
        <fgColor rgb="FFE4F3E9"/>
        <bgColor rgb="FFE4F3E9"/>
      </patternFill>
    </fill>
    <fill>
      <patternFill patternType="solid">
        <fgColor rgb="FFEFF6FA"/>
        <bgColor rgb="FFEFF6FA"/>
      </patternFill>
    </fill>
  </fills>
  <borders count="2">
    <border/>
    <border>
      <left/>
      <right/>
      <top/>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shrinkToFit="0" vertical="top" wrapText="1"/>
    </xf>
    <xf borderId="0" fillId="0" fontId="2" numFmtId="0" xfId="0" applyAlignment="1" applyFont="1">
      <alignment readingOrder="0" shrinkToFit="0" vertical="top" wrapText="1"/>
    </xf>
    <xf borderId="1" fillId="3" fontId="2" numFmtId="0" xfId="0" applyAlignment="1" applyBorder="1" applyFill="1" applyFont="1">
      <alignment readingOrder="0" shrinkToFit="0" vertical="top" wrapText="1"/>
    </xf>
    <xf borderId="0" fillId="0" fontId="2" numFmtId="0" xfId="0" applyAlignment="1" applyFont="1">
      <alignment shrinkToFit="0" vertical="top" wrapText="1"/>
    </xf>
    <xf borderId="1" fillId="4" fontId="3" numFmtId="0" xfId="0" applyAlignment="1" applyBorder="1" applyFill="1" applyFont="1">
      <alignment shrinkToFit="0" vertical="top" wrapText="1"/>
    </xf>
    <xf borderId="1" fillId="5" fontId="3" numFmtId="0" xfId="0" applyAlignment="1" applyBorder="1" applyFill="1" applyFont="1">
      <alignment shrinkToFit="0" vertical="top" wrapText="1"/>
    </xf>
    <xf borderId="1" fillId="3" fontId="2" numFmtId="0" xfId="0" applyAlignment="1" applyBorder="1" applyFill="1" applyFont="1">
      <alignment shrinkToFit="0" vertical="top" wrapText="1"/>
    </xf>
    <xf borderId="1" fillId="2" fontId="1" numFmtId="0" xfId="0" applyAlignment="1" applyBorder="1" applyFill="1" applyFont="1">
      <alignment readingOrder="0" shrinkToFit="0" vertical="top" wrapText="1"/>
    </xf>
  </cellXfs>
  <cellStyles count="1">
    <cellStyle xfId="0" name="Normal" builtinId="0"/>
  </cellStyles>
  <dxfs count="2">
    <dxf>
      <font>
        <color rgb="FF185A35"/>
      </font>
      <fill>
        <patternFill patternType="solid">
          <fgColor rgb="FFE4F3E9"/>
          <bgColor rgb="FFE4F3E9"/>
        </patternFill>
      </fill>
      <border/>
    </dxf>
    <dxf>
      <font>
        <color rgb="FF922B21"/>
      </font>
      <fill>
        <patternFill patternType="solid">
          <fgColor rgb="FFFBE8E6"/>
          <bgColor rgb="FFFBE8E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0.0"/>
    <col customWidth="1" min="2" max="3" width="51.13"/>
    <col customWidth="1" min="4" max="26" width="8.63"/>
  </cols>
  <sheetData>
    <row r="1" ht="33.75" customHeight="1">
      <c r="A1" s="1" t="s">
        <v>13</v>
      </c>
      <c r="B1" s="1" t="s">
        <v>15</v>
      </c>
      <c r="C1" s="1" t="s">
        <v>16</v>
      </c>
    </row>
    <row r="2" ht="105.0" customHeight="1">
      <c r="A2" s="4" t="s">
        <v>17</v>
      </c>
      <c r="B2" s="4" t="s">
        <v>20</v>
      </c>
      <c r="C2" s="4" t="s">
        <v>21</v>
      </c>
    </row>
    <row r="3" ht="105.0" customHeight="1">
      <c r="A3" s="4" t="s">
        <v>4</v>
      </c>
      <c r="B3" s="4" t="s">
        <v>22</v>
      </c>
      <c r="C3" s="4" t="s">
        <v>23</v>
      </c>
    </row>
    <row r="4" ht="105.0" customHeight="1">
      <c r="A4" s="4" t="s">
        <v>24</v>
      </c>
      <c r="B4" s="4" t="s">
        <v>25</v>
      </c>
      <c r="C4" s="4" t="s">
        <v>26</v>
      </c>
    </row>
    <row r="5" ht="105.0" customHeight="1">
      <c r="A5" s="4" t="s">
        <v>6</v>
      </c>
      <c r="B5" s="4" t="s">
        <v>27</v>
      </c>
      <c r="C5" s="4" t="s">
        <v>28</v>
      </c>
    </row>
    <row r="6" ht="105.0" customHeight="1">
      <c r="A6" s="4" t="s">
        <v>29</v>
      </c>
      <c r="B6" s="4" t="s">
        <v>30</v>
      </c>
      <c r="C6" s="4" t="s">
        <v>31</v>
      </c>
    </row>
    <row r="7">
      <c r="A7" s="4"/>
      <c r="B7" s="4"/>
      <c r="C7" s="4"/>
    </row>
    <row r="8" ht="64.5" customHeight="1">
      <c r="A8" s="5" t="s">
        <v>32</v>
      </c>
      <c r="B8" s="5" t="s">
        <v>33</v>
      </c>
      <c r="C8" s="5" t="s">
        <v>34</v>
      </c>
    </row>
    <row r="9">
      <c r="A9" s="4" t="s">
        <v>35</v>
      </c>
      <c r="B9" s="2" t="s">
        <v>36</v>
      </c>
      <c r="C9" s="2" t="s">
        <v>38</v>
      </c>
    </row>
    <row r="10">
      <c r="A10" s="4" t="s">
        <v>41</v>
      </c>
      <c r="B10" s="4" t="s">
        <v>43</v>
      </c>
      <c r="C10" s="4" t="s">
        <v>44</v>
      </c>
    </row>
    <row r="11">
      <c r="A11" s="4" t="s">
        <v>45</v>
      </c>
      <c r="B11" s="4" t="s">
        <v>47</v>
      </c>
      <c r="C11" s="4" t="s">
        <v>48</v>
      </c>
    </row>
    <row r="12">
      <c r="A12" s="4" t="s">
        <v>49</v>
      </c>
      <c r="B12" s="4" t="s">
        <v>51</v>
      </c>
      <c r="C12" s="4" t="s">
        <v>52</v>
      </c>
    </row>
    <row r="13">
      <c r="A13" s="4" t="s">
        <v>53</v>
      </c>
      <c r="B13" s="2" t="s">
        <v>54</v>
      </c>
      <c r="C13" s="2" t="s">
        <v>55</v>
      </c>
    </row>
    <row r="14">
      <c r="A14" s="4"/>
      <c r="B14" s="4"/>
      <c r="C14" s="4"/>
    </row>
    <row r="15">
      <c r="A15" s="8" t="s">
        <v>57</v>
      </c>
      <c r="B15" s="8" t="s">
        <v>61</v>
      </c>
      <c r="C15" s="8" t="s">
        <v>62</v>
      </c>
    </row>
    <row r="16">
      <c r="A16" s="2" t="s">
        <v>63</v>
      </c>
      <c r="B16" s="2" t="s">
        <v>65</v>
      </c>
      <c r="C16" s="2" t="s">
        <v>66</v>
      </c>
    </row>
    <row r="17">
      <c r="A17" s="2" t="s">
        <v>39</v>
      </c>
      <c r="B17" s="2" t="s">
        <v>67</v>
      </c>
      <c r="C17" s="2" t="s">
        <v>68</v>
      </c>
    </row>
    <row r="18">
      <c r="A18" s="2" t="s">
        <v>69</v>
      </c>
      <c r="B18" s="2" t="s">
        <v>70</v>
      </c>
      <c r="C18" s="2" t="s">
        <v>71</v>
      </c>
    </row>
    <row r="19">
      <c r="A19" s="2" t="s">
        <v>58</v>
      </c>
      <c r="B19" s="2" t="s">
        <v>75</v>
      </c>
      <c r="C19" s="2" t="s">
        <v>76</v>
      </c>
    </row>
    <row r="20">
      <c r="A20" s="2" t="s">
        <v>77</v>
      </c>
      <c r="B20" s="2" t="s">
        <v>79</v>
      </c>
      <c r="C20" s="2" t="s">
        <v>80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1.13"/>
    <col customWidth="1" min="2" max="2" width="33.38"/>
    <col customWidth="1" min="3" max="3" width="46.63"/>
    <col customWidth="1" min="4" max="4" width="22.63"/>
    <col customWidth="1" min="5" max="9" width="16.38"/>
    <col customWidth="1" min="10" max="11" width="45.13"/>
    <col customWidth="1" min="12" max="26" width="8.63"/>
  </cols>
  <sheetData>
    <row r="1">
      <c r="A1" s="1" t="s">
        <v>0</v>
      </c>
      <c r="B1" s="1" t="s">
        <v>1</v>
      </c>
      <c r="C1" s="1" t="s">
        <v>2</v>
      </c>
      <c r="D1" s="1" t="s">
        <v>3</v>
      </c>
      <c r="E1" s="1" t="s">
        <v>4</v>
      </c>
      <c r="F1" s="1" t="s">
        <v>5</v>
      </c>
      <c r="G1" s="1" t="s">
        <v>6</v>
      </c>
      <c r="H1" s="1" t="s">
        <v>7</v>
      </c>
      <c r="I1" s="1" t="s">
        <v>8</v>
      </c>
      <c r="J1" s="1" t="s">
        <v>9</v>
      </c>
      <c r="K1" s="1" t="s">
        <v>10</v>
      </c>
    </row>
    <row r="2" ht="600.0" customHeight="1">
      <c r="A2" s="2" t="s">
        <v>11</v>
      </c>
      <c r="B2" s="2" t="s">
        <v>12</v>
      </c>
      <c r="C2" s="2" t="s">
        <v>14</v>
      </c>
      <c r="D2" s="3"/>
      <c r="E2" s="3" t="s">
        <v>18</v>
      </c>
      <c r="F2" s="3" t="s">
        <v>19</v>
      </c>
      <c r="G2" s="3" t="s">
        <v>19</v>
      </c>
      <c r="H2" s="3" t="s">
        <v>18</v>
      </c>
      <c r="I2" s="6" t="str">
        <f t="shared" ref="I2:I13" si="1">IF(C2="","",IF(COUNTIF(D2:H2,"FAIL")&gt;0,"FAIL",IF(COUNTIF(D2:H2,"PASS")=5,"PASS","PENDING")))</f>
        <v>FAIL</v>
      </c>
      <c r="J2" s="3" t="s">
        <v>37</v>
      </c>
      <c r="K2" s="3" t="s">
        <v>39</v>
      </c>
    </row>
    <row r="3" ht="600.0" customHeight="1">
      <c r="A3" s="2" t="s">
        <v>40</v>
      </c>
      <c r="B3" s="2" t="s">
        <v>42</v>
      </c>
      <c r="C3" s="2" t="s">
        <v>46</v>
      </c>
      <c r="D3" s="7"/>
      <c r="E3" s="3" t="s">
        <v>19</v>
      </c>
      <c r="F3" s="3" t="s">
        <v>19</v>
      </c>
      <c r="G3" s="3" t="s">
        <v>18</v>
      </c>
      <c r="H3" s="3" t="s">
        <v>18</v>
      </c>
      <c r="I3" s="6" t="str">
        <f t="shared" si="1"/>
        <v>FAIL</v>
      </c>
      <c r="J3" s="3" t="s">
        <v>56</v>
      </c>
      <c r="K3" s="3" t="s">
        <v>58</v>
      </c>
    </row>
    <row r="4" ht="600.0" customHeight="1">
      <c r="A4" s="2" t="s">
        <v>59</v>
      </c>
      <c r="B4" s="2" t="s">
        <v>60</v>
      </c>
      <c r="C4" s="2" t="s">
        <v>64</v>
      </c>
      <c r="D4" s="3" t="s">
        <v>19</v>
      </c>
      <c r="E4" s="3" t="s">
        <v>18</v>
      </c>
      <c r="F4" s="3" t="s">
        <v>19</v>
      </c>
      <c r="G4" s="3" t="s">
        <v>19</v>
      </c>
      <c r="H4" s="3" t="s">
        <v>18</v>
      </c>
      <c r="I4" s="6" t="str">
        <f t="shared" si="1"/>
        <v>FAIL</v>
      </c>
      <c r="J4" s="3" t="s">
        <v>72</v>
      </c>
      <c r="K4" s="3" t="s">
        <v>63</v>
      </c>
    </row>
    <row r="5" ht="600.0" customHeight="1">
      <c r="A5" s="2" t="s">
        <v>73</v>
      </c>
      <c r="B5" s="2" t="s">
        <v>74</v>
      </c>
      <c r="C5" s="2" t="s">
        <v>78</v>
      </c>
      <c r="D5" s="7"/>
      <c r="E5" s="3" t="s">
        <v>19</v>
      </c>
      <c r="F5" s="3" t="s">
        <v>19</v>
      </c>
      <c r="G5" s="3" t="s">
        <v>18</v>
      </c>
      <c r="H5" s="3" t="s">
        <v>18</v>
      </c>
      <c r="I5" s="6" t="str">
        <f t="shared" si="1"/>
        <v>FAIL</v>
      </c>
      <c r="J5" s="3" t="s">
        <v>81</v>
      </c>
      <c r="K5" s="3" t="s">
        <v>58</v>
      </c>
    </row>
    <row r="6" ht="600.0" customHeight="1">
      <c r="A6" s="2" t="s">
        <v>82</v>
      </c>
      <c r="B6" s="2" t="s">
        <v>83</v>
      </c>
      <c r="C6" s="2" t="s">
        <v>84</v>
      </c>
      <c r="D6" s="7"/>
      <c r="E6" s="3" t="s">
        <v>18</v>
      </c>
      <c r="F6" s="3" t="s">
        <v>19</v>
      </c>
      <c r="G6" s="3" t="s">
        <v>19</v>
      </c>
      <c r="H6" s="3" t="s">
        <v>18</v>
      </c>
      <c r="I6" s="6" t="str">
        <f t="shared" si="1"/>
        <v>FAIL</v>
      </c>
      <c r="J6" s="3" t="s">
        <v>85</v>
      </c>
      <c r="K6" s="3" t="s">
        <v>39</v>
      </c>
    </row>
    <row r="7" ht="600.0" customHeight="1">
      <c r="A7" s="2" t="s">
        <v>86</v>
      </c>
      <c r="B7" s="2" t="s">
        <v>87</v>
      </c>
      <c r="C7" s="2" t="s">
        <v>88</v>
      </c>
      <c r="D7" s="3" t="s">
        <v>19</v>
      </c>
      <c r="E7" s="3" t="s">
        <v>18</v>
      </c>
      <c r="F7" s="3" t="s">
        <v>18</v>
      </c>
      <c r="G7" s="3" t="s">
        <v>18</v>
      </c>
      <c r="H7" s="3" t="s">
        <v>18</v>
      </c>
      <c r="I7" s="6" t="str">
        <f t="shared" si="1"/>
        <v>FAIL</v>
      </c>
      <c r="J7" s="3" t="s">
        <v>89</v>
      </c>
      <c r="K7" s="3" t="s">
        <v>63</v>
      </c>
    </row>
    <row r="8" ht="600.0" customHeight="1">
      <c r="A8" s="2" t="s">
        <v>90</v>
      </c>
      <c r="B8" s="2" t="s">
        <v>91</v>
      </c>
      <c r="C8" s="2" t="s">
        <v>92</v>
      </c>
      <c r="D8" s="7"/>
      <c r="E8" s="3" t="s">
        <v>18</v>
      </c>
      <c r="F8" s="3" t="s">
        <v>19</v>
      </c>
      <c r="G8" s="3" t="s">
        <v>19</v>
      </c>
      <c r="H8" s="3" t="s">
        <v>18</v>
      </c>
      <c r="I8" s="6" t="str">
        <f t="shared" si="1"/>
        <v>FAIL</v>
      </c>
      <c r="J8" s="3" t="s">
        <v>93</v>
      </c>
      <c r="K8" s="3" t="s">
        <v>39</v>
      </c>
    </row>
    <row r="9" ht="600.0" customHeight="1">
      <c r="A9" s="2" t="s">
        <v>94</v>
      </c>
      <c r="B9" s="2" t="s">
        <v>95</v>
      </c>
      <c r="C9" s="2" t="s">
        <v>96</v>
      </c>
      <c r="D9" s="3" t="s">
        <v>19</v>
      </c>
      <c r="E9" s="3" t="s">
        <v>18</v>
      </c>
      <c r="F9" s="3" t="s">
        <v>19</v>
      </c>
      <c r="G9" s="3" t="s">
        <v>19</v>
      </c>
      <c r="H9" s="3" t="s">
        <v>19</v>
      </c>
      <c r="I9" s="6" t="str">
        <f t="shared" si="1"/>
        <v>FAIL</v>
      </c>
      <c r="J9" s="3" t="s">
        <v>97</v>
      </c>
      <c r="K9" s="3" t="s">
        <v>69</v>
      </c>
    </row>
    <row r="10" ht="600.0" customHeight="1">
      <c r="A10" s="2" t="s">
        <v>98</v>
      </c>
      <c r="B10" s="2" t="s">
        <v>99</v>
      </c>
      <c r="C10" s="2" t="s">
        <v>101</v>
      </c>
      <c r="D10" s="3" t="s">
        <v>18</v>
      </c>
      <c r="E10" s="3" t="s">
        <v>18</v>
      </c>
      <c r="F10" s="3" t="s">
        <v>18</v>
      </c>
      <c r="G10" s="3" t="s">
        <v>19</v>
      </c>
      <c r="H10" s="3" t="s">
        <v>18</v>
      </c>
      <c r="I10" s="6" t="str">
        <f t="shared" si="1"/>
        <v>FAIL</v>
      </c>
      <c r="J10" s="3" t="s">
        <v>102</v>
      </c>
      <c r="K10" s="3" t="s">
        <v>58</v>
      </c>
    </row>
    <row r="11" ht="600.0" customHeight="1">
      <c r="A11" s="2" t="s">
        <v>103</v>
      </c>
      <c r="B11" s="2" t="s">
        <v>104</v>
      </c>
      <c r="C11" s="2" t="s">
        <v>105</v>
      </c>
      <c r="D11" s="7"/>
      <c r="E11" s="3" t="s">
        <v>18</v>
      </c>
      <c r="F11" s="3" t="s">
        <v>18</v>
      </c>
      <c r="G11" s="3" t="s">
        <v>19</v>
      </c>
      <c r="H11" s="3" t="s">
        <v>18</v>
      </c>
      <c r="I11" s="6" t="str">
        <f t="shared" si="1"/>
        <v>FAIL</v>
      </c>
      <c r="J11" s="3" t="s">
        <v>107</v>
      </c>
      <c r="K11" s="3" t="s">
        <v>58</v>
      </c>
    </row>
    <row r="12" ht="600.0" customHeight="1">
      <c r="A12" s="2" t="s">
        <v>108</v>
      </c>
      <c r="B12" s="2" t="s">
        <v>109</v>
      </c>
      <c r="C12" s="2" t="s">
        <v>110</v>
      </c>
      <c r="D12" s="3" t="s">
        <v>19</v>
      </c>
      <c r="E12" s="3" t="s">
        <v>18</v>
      </c>
      <c r="F12" s="3" t="s">
        <v>18</v>
      </c>
      <c r="G12" s="3" t="s">
        <v>19</v>
      </c>
      <c r="H12" s="3" t="s">
        <v>18</v>
      </c>
      <c r="I12" s="6" t="str">
        <f t="shared" si="1"/>
        <v>FAIL</v>
      </c>
      <c r="J12" s="3" t="s">
        <v>112</v>
      </c>
      <c r="K12" s="3" t="s">
        <v>63</v>
      </c>
    </row>
    <row r="13" ht="600.0" customHeight="1">
      <c r="A13" s="2" t="s">
        <v>113</v>
      </c>
      <c r="B13" s="2" t="s">
        <v>114</v>
      </c>
      <c r="C13" s="2" t="s">
        <v>115</v>
      </c>
      <c r="D13" s="3" t="s">
        <v>19</v>
      </c>
      <c r="E13" s="3" t="s">
        <v>18</v>
      </c>
      <c r="F13" s="3" t="s">
        <v>18</v>
      </c>
      <c r="G13" s="3" t="s">
        <v>18</v>
      </c>
      <c r="H13" s="3" t="s">
        <v>18</v>
      </c>
      <c r="I13" s="6" t="str">
        <f t="shared" si="1"/>
        <v>FAIL</v>
      </c>
      <c r="J13" s="3" t="s">
        <v>117</v>
      </c>
      <c r="K13" s="3" t="s">
        <v>63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D2:I13">
    <cfRule type="containsText" dxfId="0" priority="1" operator="containsText" text="PASS">
      <formula>NOT(ISERROR(SEARCH(("PASS"),(D2))))</formula>
    </cfRule>
  </conditionalFormatting>
  <conditionalFormatting sqref="D2:I13">
    <cfRule type="containsText" dxfId="1" priority="2" operator="containsText" text="FAIL">
      <formula>NOT(ISERROR(SEARCH(("FAIL"),(D2))))</formula>
    </cfRule>
  </conditionalFormatting>
  <dataValidations>
    <dataValidation type="list" allowBlank="1" sqref="K2:K13">
      <formula1>"Incorrect or Hallucinated Content,Low Informational Value,Instruction Non-Compliance,Poor Framing"</formula1>
    </dataValidation>
    <dataValidation type="list" allowBlank="1" sqref="D2:H13">
      <formula1>"PASS,FAIL"</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9.5"/>
    <col customWidth="1" min="2" max="2" width="33.38"/>
    <col customWidth="1" min="3" max="3" width="38.88"/>
    <col customWidth="1" min="4" max="4" width="20.0"/>
    <col customWidth="1" min="5" max="5" width="10.5"/>
    <col customWidth="1" min="6" max="7" width="12.75"/>
    <col customWidth="1" min="8" max="8" width="11.63"/>
    <col customWidth="1" min="9" max="9" width="11.13"/>
    <col customWidth="1" min="10" max="10" width="33.38"/>
    <col customWidth="1" min="11" max="11" width="20.0"/>
    <col customWidth="1" min="12" max="26" width="8.63"/>
  </cols>
  <sheetData>
    <row r="1" ht="33.75" customHeight="1">
      <c r="A1" s="1" t="s">
        <v>0</v>
      </c>
      <c r="B1" s="1" t="s">
        <v>1</v>
      </c>
      <c r="C1" s="1" t="s">
        <v>2</v>
      </c>
      <c r="D1" s="1" t="s">
        <v>3</v>
      </c>
      <c r="E1" s="1" t="s">
        <v>4</v>
      </c>
      <c r="F1" s="1" t="s">
        <v>5</v>
      </c>
      <c r="G1" s="1" t="s">
        <v>6</v>
      </c>
      <c r="H1" s="1" t="s">
        <v>7</v>
      </c>
      <c r="I1" s="1" t="s">
        <v>8</v>
      </c>
      <c r="J1" s="1" t="s">
        <v>9</v>
      </c>
      <c r="K1" s="1" t="s">
        <v>10</v>
      </c>
    </row>
    <row r="2" ht="159.75" customHeight="1">
      <c r="A2" s="4" t="s">
        <v>50</v>
      </c>
      <c r="B2" s="4"/>
      <c r="C2" s="2"/>
      <c r="D2" s="3"/>
      <c r="E2" s="3"/>
      <c r="F2" s="3"/>
      <c r="G2" s="3"/>
      <c r="H2" s="3"/>
      <c r="I2" s="6" t="str">
        <f t="shared" ref="I2:I11" si="1">IF(C2="","",IF(COUNTIF(D2:H2,"FAIL")&gt;0,"FAIL",IF(COUNTIF(D2:H2,"PASS")=5,"PASS","PENDING")))</f>
        <v/>
      </c>
      <c r="J2" s="7"/>
      <c r="K2" s="7"/>
    </row>
    <row r="3" ht="159.75" customHeight="1">
      <c r="A3" s="4" t="s">
        <v>100</v>
      </c>
      <c r="B3" s="4"/>
      <c r="C3" s="4"/>
      <c r="D3" s="7"/>
      <c r="E3" s="7"/>
      <c r="F3" s="7"/>
      <c r="G3" s="7"/>
      <c r="H3" s="7"/>
      <c r="I3" s="6" t="str">
        <f t="shared" si="1"/>
        <v/>
      </c>
      <c r="J3" s="7"/>
      <c r="K3" s="7"/>
    </row>
    <row r="4" ht="159.75" customHeight="1">
      <c r="A4" s="4" t="s">
        <v>106</v>
      </c>
      <c r="B4" s="4"/>
      <c r="C4" s="4"/>
      <c r="D4" s="7"/>
      <c r="E4" s="7"/>
      <c r="F4" s="7"/>
      <c r="G4" s="7"/>
      <c r="H4" s="7"/>
      <c r="I4" s="6" t="str">
        <f t="shared" si="1"/>
        <v/>
      </c>
      <c r="J4" s="7"/>
      <c r="K4" s="7"/>
    </row>
    <row r="5" ht="159.75" customHeight="1">
      <c r="A5" s="4" t="s">
        <v>111</v>
      </c>
      <c r="B5" s="4"/>
      <c r="C5" s="4"/>
      <c r="D5" s="7"/>
      <c r="E5" s="7"/>
      <c r="F5" s="7"/>
      <c r="G5" s="7"/>
      <c r="H5" s="7"/>
      <c r="I5" s="6" t="str">
        <f t="shared" si="1"/>
        <v/>
      </c>
      <c r="J5" s="7"/>
      <c r="K5" s="7"/>
    </row>
    <row r="6" ht="159.75" customHeight="1">
      <c r="A6" s="4" t="s">
        <v>116</v>
      </c>
      <c r="B6" s="4"/>
      <c r="C6" s="4"/>
      <c r="D6" s="7"/>
      <c r="E6" s="7"/>
      <c r="F6" s="7"/>
      <c r="G6" s="7"/>
      <c r="H6" s="7"/>
      <c r="I6" s="6" t="str">
        <f t="shared" si="1"/>
        <v/>
      </c>
      <c r="J6" s="7"/>
      <c r="K6" s="7"/>
    </row>
    <row r="7" ht="159.75" customHeight="1">
      <c r="A7" s="4" t="s">
        <v>118</v>
      </c>
      <c r="B7" s="4"/>
      <c r="C7" s="4"/>
      <c r="D7" s="7"/>
      <c r="E7" s="7"/>
      <c r="F7" s="7"/>
      <c r="G7" s="7"/>
      <c r="H7" s="7"/>
      <c r="I7" s="6" t="str">
        <f t="shared" si="1"/>
        <v/>
      </c>
      <c r="J7" s="7"/>
      <c r="K7" s="7"/>
    </row>
    <row r="8" ht="159.75" customHeight="1">
      <c r="A8" s="4" t="s">
        <v>119</v>
      </c>
      <c r="B8" s="4"/>
      <c r="C8" s="4"/>
      <c r="D8" s="7"/>
      <c r="E8" s="7"/>
      <c r="F8" s="7"/>
      <c r="G8" s="7"/>
      <c r="H8" s="7"/>
      <c r="I8" s="6" t="str">
        <f t="shared" si="1"/>
        <v/>
      </c>
      <c r="J8" s="7"/>
      <c r="K8" s="7"/>
    </row>
    <row r="9" ht="159.75" customHeight="1">
      <c r="A9" s="4" t="s">
        <v>120</v>
      </c>
      <c r="B9" s="4"/>
      <c r="C9" s="4"/>
      <c r="D9" s="7"/>
      <c r="E9" s="7"/>
      <c r="F9" s="7"/>
      <c r="G9" s="7"/>
      <c r="H9" s="7"/>
      <c r="I9" s="6" t="str">
        <f t="shared" si="1"/>
        <v/>
      </c>
      <c r="J9" s="7"/>
      <c r="K9" s="7"/>
    </row>
    <row r="10" ht="159.75" customHeight="1">
      <c r="A10" s="4" t="s">
        <v>121</v>
      </c>
      <c r="B10" s="4"/>
      <c r="C10" s="4"/>
      <c r="D10" s="7"/>
      <c r="E10" s="7"/>
      <c r="F10" s="7"/>
      <c r="G10" s="7"/>
      <c r="H10" s="7"/>
      <c r="I10" s="6" t="str">
        <f t="shared" si="1"/>
        <v/>
      </c>
      <c r="J10" s="7"/>
      <c r="K10" s="7"/>
    </row>
    <row r="11" ht="159.75" customHeight="1">
      <c r="A11" s="4" t="s">
        <v>122</v>
      </c>
      <c r="B11" s="4"/>
      <c r="C11" s="4"/>
      <c r="D11" s="7"/>
      <c r="E11" s="7"/>
      <c r="F11" s="7"/>
      <c r="G11" s="7"/>
      <c r="H11" s="7"/>
      <c r="I11" s="6" t="str">
        <f t="shared" si="1"/>
        <v/>
      </c>
      <c r="J11" s="7"/>
      <c r="K11" s="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D2:I11">
    <cfRule type="containsText" dxfId="0" priority="1" operator="containsText" text="PASS">
      <formula>NOT(ISERROR(SEARCH(("PASS"),(D2))))</formula>
    </cfRule>
  </conditionalFormatting>
  <conditionalFormatting sqref="D2:I11">
    <cfRule type="containsText" dxfId="1" priority="2" operator="containsText" text="FAIL">
      <formula>NOT(ISERROR(SEARCH(("FAIL"),(D2))))</formula>
    </cfRule>
  </conditionalFormatting>
  <dataValidations>
    <dataValidation type="list" allowBlank="1" sqref="K2:K11">
      <formula1>"Incorrect or Hallucinated Content,Low Informational Value,Instruction Non-Compliance,Poor Framing"</formula1>
    </dataValidation>
    <dataValidation type="list" allowBlank="1" sqref="D2:H11">
      <formula1>"PASS,FAIL"</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9.5"/>
    <col customWidth="1" min="2" max="2" width="33.38"/>
    <col customWidth="1" min="3" max="3" width="38.88"/>
    <col customWidth="1" min="4" max="4" width="20.0"/>
    <col customWidth="1" min="5" max="5" width="10.5"/>
    <col customWidth="1" min="6" max="7" width="12.75"/>
    <col customWidth="1" min="8" max="8" width="11.63"/>
    <col customWidth="1" min="9" max="9" width="11.13"/>
    <col customWidth="1" min="10" max="10" width="33.38"/>
    <col customWidth="1" min="11" max="11" width="20.0"/>
    <col customWidth="1" min="12" max="26" width="8.63"/>
  </cols>
  <sheetData>
    <row r="1" ht="33.75" customHeight="1">
      <c r="A1" s="1" t="s">
        <v>0</v>
      </c>
      <c r="B1" s="1" t="s">
        <v>1</v>
      </c>
      <c r="C1" s="1" t="s">
        <v>2</v>
      </c>
      <c r="D1" s="1" t="s">
        <v>3</v>
      </c>
      <c r="E1" s="1" t="s">
        <v>4</v>
      </c>
      <c r="F1" s="1" t="s">
        <v>5</v>
      </c>
      <c r="G1" s="1" t="s">
        <v>6</v>
      </c>
      <c r="H1" s="1" t="s">
        <v>7</v>
      </c>
      <c r="I1" s="1" t="s">
        <v>8</v>
      </c>
      <c r="J1" s="1" t="s">
        <v>9</v>
      </c>
      <c r="K1" s="1" t="s">
        <v>10</v>
      </c>
    </row>
    <row r="2" ht="159.75" customHeight="1">
      <c r="A2" s="4"/>
      <c r="B2" s="4"/>
      <c r="C2" s="4"/>
      <c r="D2" s="7"/>
      <c r="E2" s="7"/>
      <c r="F2" s="7"/>
      <c r="G2" s="7"/>
      <c r="H2" s="7"/>
      <c r="I2" s="6" t="str">
        <f t="shared" ref="I2:I11" si="1">IF(C2="","",IF(COUNTIF(D2:H2,"FAIL")&gt;0,"FAIL",IF(COUNTIF(D2:H2,"PASS")=5,"PASS","PENDING")))</f>
        <v/>
      </c>
      <c r="J2" s="7"/>
      <c r="K2" s="7"/>
    </row>
    <row r="3" ht="159.75" customHeight="1">
      <c r="A3" s="4"/>
      <c r="B3" s="4"/>
      <c r="C3" s="4"/>
      <c r="D3" s="7"/>
      <c r="E3" s="7"/>
      <c r="F3" s="7"/>
      <c r="G3" s="7"/>
      <c r="H3" s="7"/>
      <c r="I3" s="6" t="str">
        <f t="shared" si="1"/>
        <v/>
      </c>
      <c r="J3" s="7"/>
      <c r="K3" s="7"/>
    </row>
    <row r="4" ht="159.75" customHeight="1">
      <c r="A4" s="4"/>
      <c r="B4" s="4"/>
      <c r="C4" s="4"/>
      <c r="D4" s="7"/>
      <c r="E4" s="7"/>
      <c r="F4" s="7"/>
      <c r="G4" s="7"/>
      <c r="H4" s="7"/>
      <c r="I4" s="6" t="str">
        <f t="shared" si="1"/>
        <v/>
      </c>
      <c r="J4" s="7"/>
      <c r="K4" s="7"/>
    </row>
    <row r="5" ht="159.75" customHeight="1">
      <c r="A5" s="4"/>
      <c r="B5" s="4"/>
      <c r="C5" s="4"/>
      <c r="D5" s="7"/>
      <c r="E5" s="7"/>
      <c r="F5" s="7"/>
      <c r="G5" s="7"/>
      <c r="H5" s="7"/>
      <c r="I5" s="6" t="str">
        <f t="shared" si="1"/>
        <v/>
      </c>
      <c r="J5" s="7"/>
      <c r="K5" s="7"/>
    </row>
    <row r="6" ht="159.75" customHeight="1">
      <c r="A6" s="4"/>
      <c r="B6" s="4"/>
      <c r="C6" s="4"/>
      <c r="D6" s="7"/>
      <c r="E6" s="7"/>
      <c r="F6" s="7"/>
      <c r="G6" s="7"/>
      <c r="H6" s="7"/>
      <c r="I6" s="6" t="str">
        <f t="shared" si="1"/>
        <v/>
      </c>
      <c r="J6" s="7"/>
      <c r="K6" s="7"/>
    </row>
    <row r="7" ht="159.75" customHeight="1">
      <c r="A7" s="4"/>
      <c r="B7" s="4"/>
      <c r="C7" s="4"/>
      <c r="D7" s="7"/>
      <c r="E7" s="7"/>
      <c r="F7" s="7"/>
      <c r="G7" s="7"/>
      <c r="H7" s="7"/>
      <c r="I7" s="6" t="str">
        <f t="shared" si="1"/>
        <v/>
      </c>
      <c r="J7" s="7"/>
      <c r="K7" s="7"/>
    </row>
    <row r="8" ht="159.75" customHeight="1">
      <c r="A8" s="4"/>
      <c r="B8" s="4"/>
      <c r="C8" s="4"/>
      <c r="D8" s="7"/>
      <c r="E8" s="7"/>
      <c r="F8" s="7"/>
      <c r="G8" s="7"/>
      <c r="H8" s="7"/>
      <c r="I8" s="6" t="str">
        <f t="shared" si="1"/>
        <v/>
      </c>
      <c r="J8" s="7"/>
      <c r="K8" s="7"/>
    </row>
    <row r="9" ht="159.75" customHeight="1">
      <c r="A9" s="4"/>
      <c r="B9" s="4"/>
      <c r="C9" s="4"/>
      <c r="D9" s="7"/>
      <c r="E9" s="7"/>
      <c r="F9" s="7"/>
      <c r="G9" s="7"/>
      <c r="H9" s="7"/>
      <c r="I9" s="6" t="str">
        <f t="shared" si="1"/>
        <v/>
      </c>
      <c r="J9" s="7"/>
      <c r="K9" s="7"/>
    </row>
    <row r="10" ht="159.75" customHeight="1">
      <c r="A10" s="4"/>
      <c r="B10" s="4"/>
      <c r="C10" s="4"/>
      <c r="D10" s="7"/>
      <c r="E10" s="7"/>
      <c r="F10" s="7"/>
      <c r="G10" s="7"/>
      <c r="H10" s="7"/>
      <c r="I10" s="6" t="str">
        <f t="shared" si="1"/>
        <v/>
      </c>
      <c r="J10" s="7"/>
      <c r="K10" s="7"/>
    </row>
    <row r="11" ht="159.75" customHeight="1">
      <c r="A11" s="4"/>
      <c r="B11" s="4"/>
      <c r="C11" s="4"/>
      <c r="D11" s="7"/>
      <c r="E11" s="7"/>
      <c r="F11" s="7"/>
      <c r="G11" s="7"/>
      <c r="H11" s="7"/>
      <c r="I11" s="6" t="str">
        <f t="shared" si="1"/>
        <v/>
      </c>
      <c r="J11" s="7"/>
      <c r="K11" s="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D2:I11">
    <cfRule type="containsText" dxfId="0" priority="1" operator="containsText" text="PASS">
      <formula>NOT(ISERROR(SEARCH(("PASS"),(D2))))</formula>
    </cfRule>
  </conditionalFormatting>
  <conditionalFormatting sqref="D2:I11">
    <cfRule type="containsText" dxfId="1" priority="2" operator="containsText" text="FAIL">
      <formula>NOT(ISERROR(SEARCH(("FAIL"),(D2))))</formula>
    </cfRule>
  </conditionalFormatting>
  <dataValidations>
    <dataValidation type="list" allowBlank="1" sqref="K2:K11">
      <formula1>"Incorrect or Hallucinated Content,Low Informational Value,Instruction Non-Compliance,Poor Framing"</formula1>
    </dataValidation>
    <dataValidation type="list" allowBlank="1" sqref="D2:H11">
      <formula1>"PASS,FAIL"</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1.13"/>
    <col customWidth="1" min="2" max="3" width="16.63"/>
    <col customWidth="1" min="4" max="4" width="22.25"/>
    <col customWidth="1" min="5" max="26" width="8.63"/>
  </cols>
  <sheetData>
    <row r="1" ht="33.75" customHeight="1">
      <c r="A1" s="1" t="s">
        <v>0</v>
      </c>
      <c r="B1" s="1" t="s">
        <v>123</v>
      </c>
      <c r="C1" s="1" t="s">
        <v>124</v>
      </c>
      <c r="D1" s="1" t="s">
        <v>125</v>
      </c>
    </row>
    <row r="2" ht="30.0" customHeight="1">
      <c r="A2" s="4" t="s">
        <v>50</v>
      </c>
      <c r="B2" s="4" t="str">
        <f t="array" ref="B2">IF(COUNTIF('Evaluation Log'!$A$2:$A$11,A2)=0,"",IF(INDEX('Evaluation Log'!$I$2:$I$11,MATCH(A2,'Evaluation Log'!$A$2:$A$11,0))="","",INDEX('Evaluation Log'!$I$2:$I$11,MATCH(A2,'Evaluation Log'!$A$2:$A$11,0))))</f>
        <v/>
      </c>
      <c r="C2" s="4" t="str">
        <f t="array" ref="C2">IF(COUNTIF('Revised Posts'!$A$2:$A$11,A2)=0,"",IF(INDEX('Revised Posts'!$I$2:$I$11,MATCH(A2,'Revised Posts'!$A$2:$A$11,0))="","",INDEX('Revised Posts'!$I$2:$I$11,MATCH(A2,'Revised Posts'!$A$2:$A$11,0))))</f>
        <v/>
      </c>
      <c r="D2" s="4" t="str">
        <f t="shared" ref="D2:D11" si="1">IF(OR(B2="",C2=""),"",IF(OR(B2="PENDING",C2="PENDING"),"Awaiting review",IF(B2="FAIL",IF(C2="PASS","Fixed","Still fails"),IF(C2="FAIL","Got worse","Still passes"))))</f>
        <v/>
      </c>
    </row>
    <row r="3" ht="30.0" customHeight="1">
      <c r="A3" s="4" t="s">
        <v>100</v>
      </c>
      <c r="B3" s="4" t="str">
        <f t="array" ref="B3">IF(COUNTIF('Evaluation Log'!$A$2:$A$11,A3)=0,"",IF(INDEX('Evaluation Log'!$I$2:$I$11,MATCH(A3,'Evaluation Log'!$A$2:$A$11,0))="","",INDEX('Evaluation Log'!$I$2:$I$11,MATCH(A3,'Evaluation Log'!$A$2:$A$11,0))))</f>
        <v/>
      </c>
      <c r="C3" s="4" t="str">
        <f t="array" ref="C3">IF(COUNTIF('Revised Posts'!$A$2:$A$11,A3)=0,"",IF(INDEX('Revised Posts'!$I$2:$I$11,MATCH(A3,'Revised Posts'!$A$2:$A$11,0))="","",INDEX('Revised Posts'!$I$2:$I$11,MATCH(A3,'Revised Posts'!$A$2:$A$11,0))))</f>
        <v/>
      </c>
      <c r="D3" s="4" t="str">
        <f t="shared" si="1"/>
        <v/>
      </c>
    </row>
    <row r="4" ht="30.0" customHeight="1">
      <c r="A4" s="4" t="s">
        <v>106</v>
      </c>
      <c r="B4" s="4" t="str">
        <f t="array" ref="B4">IF(COUNTIF('Evaluation Log'!$A$2:$A$11,A4)=0,"",IF(INDEX('Evaluation Log'!$I$2:$I$11,MATCH(A4,'Evaluation Log'!$A$2:$A$11,0))="","",INDEX('Evaluation Log'!$I$2:$I$11,MATCH(A4,'Evaluation Log'!$A$2:$A$11,0))))</f>
        <v/>
      </c>
      <c r="C4" s="4" t="str">
        <f t="array" ref="C4">IF(COUNTIF('Revised Posts'!$A$2:$A$11,A4)=0,"",IF(INDEX('Revised Posts'!$I$2:$I$11,MATCH(A4,'Revised Posts'!$A$2:$A$11,0))="","",INDEX('Revised Posts'!$I$2:$I$11,MATCH(A4,'Revised Posts'!$A$2:$A$11,0))))</f>
        <v/>
      </c>
      <c r="D4" s="4" t="str">
        <f t="shared" si="1"/>
        <v/>
      </c>
    </row>
    <row r="5" ht="30.0" customHeight="1">
      <c r="A5" s="4" t="s">
        <v>111</v>
      </c>
      <c r="B5" s="4" t="str">
        <f t="array" ref="B5">IF(COUNTIF('Evaluation Log'!$A$2:$A$11,A5)=0,"",IF(INDEX('Evaluation Log'!$I$2:$I$11,MATCH(A5,'Evaluation Log'!$A$2:$A$11,0))="","",INDEX('Evaluation Log'!$I$2:$I$11,MATCH(A5,'Evaluation Log'!$A$2:$A$11,0))))</f>
        <v/>
      </c>
      <c r="C5" s="4" t="str">
        <f t="array" ref="C5">IF(COUNTIF('Revised Posts'!$A$2:$A$11,A5)=0,"",IF(INDEX('Revised Posts'!$I$2:$I$11,MATCH(A5,'Revised Posts'!$A$2:$A$11,0))="","",INDEX('Revised Posts'!$I$2:$I$11,MATCH(A5,'Revised Posts'!$A$2:$A$11,0))))</f>
        <v/>
      </c>
      <c r="D5" s="4" t="str">
        <f t="shared" si="1"/>
        <v/>
      </c>
    </row>
    <row r="6" ht="30.0" customHeight="1">
      <c r="A6" s="4" t="s">
        <v>116</v>
      </c>
      <c r="B6" s="4" t="str">
        <f t="array" ref="B6">IF(COUNTIF('Evaluation Log'!$A$2:$A$11,A6)=0,"",IF(INDEX('Evaluation Log'!$I$2:$I$11,MATCH(A6,'Evaluation Log'!$A$2:$A$11,0))="","",INDEX('Evaluation Log'!$I$2:$I$11,MATCH(A6,'Evaluation Log'!$A$2:$A$11,0))))</f>
        <v/>
      </c>
      <c r="C6" s="4" t="str">
        <f t="array" ref="C6">IF(COUNTIF('Revised Posts'!$A$2:$A$11,A6)=0,"",IF(INDEX('Revised Posts'!$I$2:$I$11,MATCH(A6,'Revised Posts'!$A$2:$A$11,0))="","",INDEX('Revised Posts'!$I$2:$I$11,MATCH(A6,'Revised Posts'!$A$2:$A$11,0))))</f>
        <v/>
      </c>
      <c r="D6" s="4" t="str">
        <f t="shared" si="1"/>
        <v/>
      </c>
    </row>
    <row r="7" ht="30.0" customHeight="1">
      <c r="A7" s="4" t="s">
        <v>118</v>
      </c>
      <c r="B7" s="4" t="str">
        <f t="array" ref="B7">IF(COUNTIF('Evaluation Log'!$A$2:$A$11,A7)=0,"",IF(INDEX('Evaluation Log'!$I$2:$I$11,MATCH(A7,'Evaluation Log'!$A$2:$A$11,0))="","",INDEX('Evaluation Log'!$I$2:$I$11,MATCH(A7,'Evaluation Log'!$A$2:$A$11,0))))</f>
        <v/>
      </c>
      <c r="C7" s="4" t="str">
        <f t="array" ref="C7">IF(COUNTIF('Revised Posts'!$A$2:$A$11,A7)=0,"",IF(INDEX('Revised Posts'!$I$2:$I$11,MATCH(A7,'Revised Posts'!$A$2:$A$11,0))="","",INDEX('Revised Posts'!$I$2:$I$11,MATCH(A7,'Revised Posts'!$A$2:$A$11,0))))</f>
        <v/>
      </c>
      <c r="D7" s="4" t="str">
        <f t="shared" si="1"/>
        <v/>
      </c>
    </row>
    <row r="8" ht="30.0" customHeight="1">
      <c r="A8" s="4" t="s">
        <v>119</v>
      </c>
      <c r="B8" s="4" t="str">
        <f t="array" ref="B8">IF(COUNTIF('Evaluation Log'!$A$2:$A$11,A8)=0,"",IF(INDEX('Evaluation Log'!$I$2:$I$11,MATCH(A8,'Evaluation Log'!$A$2:$A$11,0))="","",INDEX('Evaluation Log'!$I$2:$I$11,MATCH(A8,'Evaluation Log'!$A$2:$A$11,0))))</f>
        <v/>
      </c>
      <c r="C8" s="4" t="str">
        <f t="array" ref="C8">IF(COUNTIF('Revised Posts'!$A$2:$A$11,A8)=0,"",IF(INDEX('Revised Posts'!$I$2:$I$11,MATCH(A8,'Revised Posts'!$A$2:$A$11,0))="","",INDEX('Revised Posts'!$I$2:$I$11,MATCH(A8,'Revised Posts'!$A$2:$A$11,0))))</f>
        <v/>
      </c>
      <c r="D8" s="4" t="str">
        <f t="shared" si="1"/>
        <v/>
      </c>
    </row>
    <row r="9" ht="30.0" customHeight="1">
      <c r="A9" s="4" t="s">
        <v>120</v>
      </c>
      <c r="B9" s="4" t="str">
        <f t="array" ref="B9">IF(COUNTIF('Evaluation Log'!$A$2:$A$11,A9)=0,"",IF(INDEX('Evaluation Log'!$I$2:$I$11,MATCH(A9,'Evaluation Log'!$A$2:$A$11,0))="","",INDEX('Evaluation Log'!$I$2:$I$11,MATCH(A9,'Evaluation Log'!$A$2:$A$11,0))))</f>
        <v/>
      </c>
      <c r="C9" s="4" t="str">
        <f t="array" ref="C9">IF(COUNTIF('Revised Posts'!$A$2:$A$11,A9)=0,"",IF(INDEX('Revised Posts'!$I$2:$I$11,MATCH(A9,'Revised Posts'!$A$2:$A$11,0))="","",INDEX('Revised Posts'!$I$2:$I$11,MATCH(A9,'Revised Posts'!$A$2:$A$11,0))))</f>
        <v/>
      </c>
      <c r="D9" s="4" t="str">
        <f t="shared" si="1"/>
        <v/>
      </c>
    </row>
    <row r="10" ht="30.0" customHeight="1">
      <c r="A10" s="4" t="s">
        <v>121</v>
      </c>
      <c r="B10" s="4" t="str">
        <f t="array" ref="B10">IF(COUNTIF('Evaluation Log'!$A$2:$A$11,A10)=0,"",IF(INDEX('Evaluation Log'!$I$2:$I$11,MATCH(A10,'Evaluation Log'!$A$2:$A$11,0))="","",INDEX('Evaluation Log'!$I$2:$I$11,MATCH(A10,'Evaluation Log'!$A$2:$A$11,0))))</f>
        <v/>
      </c>
      <c r="C10" s="4" t="str">
        <f t="array" ref="C10">IF(COUNTIF('Revised Posts'!$A$2:$A$11,A10)=0,"",IF(INDEX('Revised Posts'!$I$2:$I$11,MATCH(A10,'Revised Posts'!$A$2:$A$11,0))="","",INDEX('Revised Posts'!$I$2:$I$11,MATCH(A10,'Revised Posts'!$A$2:$A$11,0))))</f>
        <v/>
      </c>
      <c r="D10" s="4" t="str">
        <f t="shared" si="1"/>
        <v/>
      </c>
    </row>
    <row r="11" ht="30.0" customHeight="1">
      <c r="A11" s="4" t="s">
        <v>122</v>
      </c>
      <c r="B11" s="4" t="str">
        <f t="array" ref="B11">IF(COUNTIF('Evaluation Log'!$A$2:$A$11,A11)=0,"",IF(INDEX('Evaluation Log'!$I$2:$I$11,MATCH(A11,'Evaluation Log'!$A$2:$A$11,0))="","",INDEX('Evaluation Log'!$I$2:$I$11,MATCH(A11,'Evaluation Log'!$A$2:$A$11,0))))</f>
        <v/>
      </c>
      <c r="C11" s="4" t="str">
        <f t="array" ref="C11">IF(COUNTIF('Revised Posts'!$A$2:$A$11,A11)=0,"",IF(INDEX('Revised Posts'!$I$2:$I$11,MATCH(A11,'Revised Posts'!$A$2:$A$11,0))="","",INDEX('Revised Posts'!$I$2:$I$11,MATCH(A11,'Revised Posts'!$A$2:$A$11,0))))</f>
        <v/>
      </c>
      <c r="D11" s="4" t="str">
        <f t="shared" si="1"/>
        <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C11">
    <cfRule type="containsText" dxfId="0" priority="1" operator="containsText" text="PASS">
      <formula>NOT(ISERROR(SEARCH(("PASS"),(B2))))</formula>
    </cfRule>
  </conditionalFormatting>
  <conditionalFormatting sqref="B2:C11">
    <cfRule type="containsText" dxfId="1" priority="2" operator="containsText" text="FAIL">
      <formula>NOT(ISERROR(SEARCH(("FAIL"),(B2))))</formula>
    </cfRule>
  </conditionalFormatting>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8.88"/>
    <col customWidth="1" min="2" max="2" width="10.0"/>
    <col customWidth="1" min="3" max="3" width="55.5"/>
    <col customWidth="1" min="4" max="26" width="8.63"/>
  </cols>
  <sheetData>
    <row r="1" ht="33.75" customHeight="1">
      <c r="A1" s="1" t="s">
        <v>126</v>
      </c>
      <c r="B1" s="1" t="s">
        <v>127</v>
      </c>
      <c r="C1" s="1" t="s">
        <v>128</v>
      </c>
    </row>
    <row r="2" ht="54.75" customHeight="1">
      <c r="A2" s="4" t="s">
        <v>63</v>
      </c>
      <c r="B2" s="4">
        <f>COUNTIFS('Evaluation Log'!$K$2:$K$11,A2,'Evaluation Log'!$I$2:$I$11,"FAIL")</f>
        <v>0</v>
      </c>
      <c r="C2" s="4"/>
    </row>
    <row r="3" ht="54.75" customHeight="1">
      <c r="A3" s="4" t="s">
        <v>39</v>
      </c>
      <c r="B3" s="4">
        <f>COUNTIFS('Evaluation Log'!$K$2:$K$11,A3,'Evaluation Log'!$I$2:$I$11,"FAIL")</f>
        <v>0</v>
      </c>
      <c r="C3" s="4"/>
    </row>
    <row r="4" ht="54.75" customHeight="1">
      <c r="A4" s="4" t="s">
        <v>69</v>
      </c>
      <c r="B4" s="4">
        <f>COUNTIFS('Evaluation Log'!$K$2:$K$11,A4,'Evaluation Log'!$I$2:$I$11,"FAIL")</f>
        <v>0</v>
      </c>
      <c r="C4" s="4"/>
    </row>
    <row r="5" ht="54.75" customHeight="1">
      <c r="A5" s="4" t="s">
        <v>58</v>
      </c>
      <c r="B5" s="4">
        <f>COUNTIFS('Evaluation Log'!$K$2:$K$11,A5,'Evaluation Log'!$I$2:$I$11,"FAIL")</f>
        <v>0</v>
      </c>
      <c r="C5"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1.13"/>
    <col customWidth="1" min="2" max="2" width="50.0"/>
    <col customWidth="1" min="3" max="4" width="33.38"/>
    <col customWidth="1" min="5" max="26" width="8.63"/>
  </cols>
  <sheetData>
    <row r="1" ht="33.75" customHeight="1">
      <c r="A1" s="1" t="s">
        <v>0</v>
      </c>
      <c r="B1" s="1" t="s">
        <v>129</v>
      </c>
      <c r="C1" s="1" t="s">
        <v>130</v>
      </c>
      <c r="D1" s="1" t="s">
        <v>131</v>
      </c>
    </row>
    <row r="2" ht="139.5" customHeight="1">
      <c r="A2" s="4" t="s">
        <v>11</v>
      </c>
      <c r="B2" s="4" t="s">
        <v>132</v>
      </c>
      <c r="C2" s="4"/>
      <c r="D2" s="4"/>
    </row>
    <row r="3">
      <c r="A3" s="4"/>
      <c r="B3" s="4"/>
      <c r="C3" s="4"/>
      <c r="D3" s="4"/>
    </row>
    <row r="4">
      <c r="A4" s="4"/>
      <c r="B4" s="4"/>
      <c r="C4" s="4"/>
      <c r="D4" s="4"/>
    </row>
    <row r="5">
      <c r="A5" s="4"/>
      <c r="B5" s="4"/>
      <c r="C5" s="4"/>
      <c r="D5" s="4"/>
    </row>
    <row r="6">
      <c r="A6" s="4"/>
      <c r="B6" s="4"/>
      <c r="C6" s="4"/>
      <c r="D6" s="4"/>
    </row>
    <row r="7">
      <c r="A7" s="4"/>
      <c r="B7" s="4"/>
      <c r="C7" s="4"/>
      <c r="D7" s="4"/>
    </row>
    <row r="8">
      <c r="A8" s="4"/>
      <c r="B8" s="4"/>
      <c r="C8" s="4"/>
      <c r="D8" s="4"/>
    </row>
    <row r="9">
      <c r="A9" s="4"/>
      <c r="B9" s="4"/>
      <c r="C9" s="4"/>
      <c r="D9" s="4"/>
    </row>
    <row r="10">
      <c r="A10" s="4"/>
      <c r="B10" s="4"/>
      <c r="C10" s="4"/>
      <c r="D10" s="4"/>
    </row>
    <row r="11">
      <c r="A11" s="4"/>
      <c r="B11" s="4"/>
      <c r="C11" s="4"/>
      <c r="D11" s="4"/>
    </row>
    <row r="12">
      <c r="A12" s="4"/>
      <c r="B12" s="4"/>
      <c r="C12" s="4"/>
      <c r="D12"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0.0"/>
    <col customWidth="1" min="2" max="2" width="16.63"/>
    <col customWidth="1" min="3" max="3" width="13.88"/>
    <col customWidth="1" min="4" max="5" width="12.25"/>
    <col customWidth="1" min="6" max="6" width="44.5"/>
    <col customWidth="1" min="7" max="7" width="22.25"/>
    <col customWidth="1" min="8" max="8" width="33.38"/>
    <col customWidth="1" min="9" max="26" width="8.63"/>
  </cols>
  <sheetData>
    <row r="1" ht="33.75" customHeight="1">
      <c r="A1" s="1" t="s">
        <v>0</v>
      </c>
      <c r="B1" s="1" t="s">
        <v>13</v>
      </c>
      <c r="C1" s="1" t="s">
        <v>133</v>
      </c>
      <c r="D1" s="1" t="s">
        <v>134</v>
      </c>
      <c r="E1" s="1" t="s">
        <v>135</v>
      </c>
      <c r="F1" s="1" t="s">
        <v>136</v>
      </c>
      <c r="G1" s="1" t="s">
        <v>137</v>
      </c>
      <c r="H1" s="1" t="s">
        <v>138</v>
      </c>
    </row>
    <row r="2" ht="54.75" customHeight="1">
      <c r="A2" s="4"/>
      <c r="B2" s="4"/>
      <c r="C2" s="4"/>
      <c r="D2" s="4"/>
      <c r="E2" s="4"/>
      <c r="F2" s="4"/>
      <c r="G2" s="4"/>
      <c r="H2" s="4"/>
    </row>
    <row r="3" ht="54.75" customHeight="1">
      <c r="A3" s="4"/>
      <c r="B3" s="4"/>
      <c r="C3" s="4"/>
      <c r="D3" s="4"/>
      <c r="E3" s="4"/>
      <c r="F3" s="4"/>
      <c r="G3" s="4"/>
      <c r="H3" s="4"/>
    </row>
    <row r="4" ht="54.75" customHeight="1">
      <c r="A4" s="4"/>
      <c r="B4" s="4"/>
      <c r="C4" s="4"/>
      <c r="D4" s="4"/>
      <c r="E4" s="4"/>
      <c r="F4" s="4"/>
      <c r="G4" s="4"/>
      <c r="H4" s="4"/>
    </row>
    <row r="5" ht="54.75" customHeight="1">
      <c r="A5" s="4"/>
      <c r="B5" s="4"/>
      <c r="C5" s="4"/>
      <c r="D5" s="4"/>
      <c r="E5" s="4"/>
      <c r="F5" s="4"/>
      <c r="G5" s="4"/>
      <c r="H5" s="4"/>
    </row>
    <row r="6" ht="54.75" customHeight="1">
      <c r="A6" s="4"/>
      <c r="B6" s="4"/>
      <c r="C6" s="4"/>
      <c r="D6" s="4"/>
      <c r="E6" s="4"/>
      <c r="F6" s="4"/>
      <c r="G6" s="4"/>
      <c r="H6" s="4"/>
    </row>
    <row r="7" ht="54.75" customHeight="1">
      <c r="A7" s="4"/>
      <c r="B7" s="4"/>
      <c r="C7" s="4"/>
      <c r="D7" s="4"/>
      <c r="E7" s="4"/>
      <c r="F7" s="4"/>
      <c r="G7" s="4"/>
      <c r="H7" s="4"/>
    </row>
    <row r="8" ht="54.75" customHeight="1">
      <c r="A8" s="4"/>
      <c r="B8" s="4"/>
      <c r="C8" s="4"/>
      <c r="D8" s="4"/>
      <c r="E8" s="4"/>
      <c r="F8" s="4"/>
      <c r="G8" s="4"/>
      <c r="H8" s="4"/>
    </row>
    <row r="9" ht="54.75" customHeight="1">
      <c r="A9" s="4"/>
      <c r="B9" s="4"/>
      <c r="C9" s="4"/>
      <c r="D9" s="4"/>
      <c r="E9" s="4"/>
      <c r="F9" s="4"/>
      <c r="G9" s="4"/>
      <c r="H9" s="4"/>
    </row>
    <row r="10" ht="54.75" customHeight="1">
      <c r="A10" s="4"/>
      <c r="B10" s="4"/>
      <c r="C10" s="4"/>
      <c r="D10" s="4"/>
      <c r="E10" s="4"/>
      <c r="F10" s="4"/>
      <c r="G10" s="4"/>
      <c r="H10" s="4"/>
    </row>
    <row r="11" ht="54.75" customHeight="1">
      <c r="A11" s="4"/>
      <c r="B11" s="4"/>
      <c r="C11" s="4"/>
      <c r="D11" s="4"/>
      <c r="E11" s="4"/>
      <c r="F11" s="4"/>
      <c r="G11" s="4"/>
      <c r="H11" s="4"/>
    </row>
    <row r="12" ht="54.75" customHeight="1">
      <c r="A12" s="4"/>
      <c r="B12" s="4"/>
      <c r="C12" s="4"/>
      <c r="D12" s="4"/>
      <c r="E12" s="4"/>
      <c r="F12" s="4"/>
      <c r="G12" s="4"/>
      <c r="H12" s="4"/>
    </row>
    <row r="13" ht="54.75" customHeight="1">
      <c r="A13" s="4"/>
      <c r="B13" s="4"/>
      <c r="C13" s="4"/>
      <c r="D13" s="4"/>
      <c r="E13" s="4"/>
      <c r="F13" s="4"/>
      <c r="G13" s="4"/>
      <c r="H13" s="4"/>
    </row>
    <row r="14" ht="54.75" customHeight="1">
      <c r="A14" s="4"/>
      <c r="B14" s="4"/>
      <c r="C14" s="4"/>
      <c r="D14" s="4"/>
      <c r="E14" s="4"/>
      <c r="F14" s="4"/>
      <c r="G14" s="4"/>
      <c r="H14" s="4"/>
    </row>
    <row r="15" ht="54.75" customHeight="1">
      <c r="A15" s="4"/>
      <c r="B15" s="4"/>
      <c r="C15" s="4"/>
      <c r="D15" s="4"/>
      <c r="E15" s="4"/>
      <c r="F15" s="4"/>
      <c r="G15" s="4"/>
      <c r="H15" s="4"/>
    </row>
    <row r="16" ht="54.75" customHeight="1">
      <c r="A16" s="4"/>
      <c r="B16" s="4"/>
      <c r="C16" s="4"/>
      <c r="D16" s="4"/>
      <c r="E16" s="4"/>
      <c r="F16" s="4"/>
      <c r="G16" s="4"/>
      <c r="H16" s="4"/>
    </row>
    <row r="17" ht="54.75" customHeight="1">
      <c r="A17" s="4"/>
      <c r="B17" s="4"/>
      <c r="C17" s="4"/>
      <c r="D17" s="4"/>
      <c r="E17" s="4"/>
      <c r="F17" s="4"/>
      <c r="G17" s="4"/>
      <c r="H17" s="4"/>
    </row>
    <row r="18" ht="54.75" customHeight="1">
      <c r="A18" s="4"/>
      <c r="B18" s="4"/>
      <c r="C18" s="4"/>
      <c r="D18" s="4"/>
      <c r="E18" s="4"/>
      <c r="F18" s="4"/>
      <c r="G18" s="4"/>
      <c r="H18" s="4"/>
    </row>
    <row r="19" ht="54.75" customHeight="1">
      <c r="A19" s="4"/>
      <c r="B19" s="4"/>
      <c r="C19" s="4"/>
      <c r="D19" s="4"/>
      <c r="E19" s="4"/>
      <c r="F19" s="4"/>
      <c r="G19" s="4"/>
      <c r="H19" s="4"/>
    </row>
    <row r="20" ht="54.75" customHeight="1">
      <c r="A20" s="4"/>
      <c r="B20" s="4"/>
      <c r="C20" s="4"/>
      <c r="D20" s="4"/>
      <c r="E20" s="4"/>
      <c r="F20" s="4"/>
      <c r="G20" s="4"/>
      <c r="H20" s="4"/>
    </row>
    <row r="21" ht="54.75" customHeight="1">
      <c r="A21" s="4"/>
      <c r="B21" s="4"/>
      <c r="C21" s="4"/>
      <c r="D21" s="4"/>
      <c r="E21" s="4"/>
      <c r="F21" s="4"/>
      <c r="G21" s="4"/>
      <c r="H21" s="4"/>
    </row>
    <row r="22" ht="54.75" customHeight="1">
      <c r="A22" s="4"/>
      <c r="B22" s="4"/>
      <c r="C22" s="4"/>
      <c r="D22" s="4"/>
      <c r="E22" s="4"/>
      <c r="F22" s="4"/>
      <c r="G22" s="4"/>
      <c r="H22" s="4"/>
    </row>
    <row r="23" ht="54.75" customHeight="1">
      <c r="A23" s="4"/>
      <c r="B23" s="4"/>
      <c r="C23" s="4"/>
      <c r="D23" s="4"/>
      <c r="E23" s="4"/>
      <c r="F23" s="4"/>
      <c r="G23" s="4"/>
      <c r="H23" s="4"/>
    </row>
    <row r="24" ht="54.75" customHeight="1">
      <c r="A24" s="4"/>
      <c r="B24" s="4"/>
      <c r="C24" s="4"/>
      <c r="D24" s="4"/>
      <c r="E24" s="4"/>
      <c r="F24" s="4"/>
      <c r="G24" s="4"/>
      <c r="H24" s="4"/>
    </row>
    <row r="25" ht="54.75" customHeight="1">
      <c r="A25" s="4"/>
      <c r="B25" s="4"/>
      <c r="C25" s="4"/>
      <c r="D25" s="4"/>
      <c r="E25" s="4"/>
      <c r="F25" s="4"/>
      <c r="G25" s="4"/>
      <c r="H25" s="4"/>
    </row>
    <row r="26" ht="54.75" customHeight="1">
      <c r="A26" s="4"/>
      <c r="B26" s="4"/>
      <c r="C26" s="4"/>
      <c r="D26" s="4"/>
      <c r="E26" s="4"/>
      <c r="F26" s="4"/>
      <c r="G26" s="4"/>
      <c r="H26" s="4"/>
    </row>
    <row r="27" ht="54.75" customHeight="1">
      <c r="A27" s="4"/>
      <c r="B27" s="4"/>
      <c r="C27" s="4"/>
      <c r="D27" s="4"/>
      <c r="E27" s="4"/>
      <c r="F27" s="4"/>
      <c r="G27" s="4"/>
      <c r="H27" s="4"/>
    </row>
    <row r="28" ht="54.75" customHeight="1">
      <c r="A28" s="4"/>
      <c r="B28" s="4"/>
      <c r="C28" s="4"/>
      <c r="D28" s="4"/>
      <c r="E28" s="4"/>
      <c r="F28" s="4"/>
      <c r="G28" s="4"/>
      <c r="H28" s="4"/>
    </row>
    <row r="29" ht="54.75" customHeight="1">
      <c r="A29" s="4"/>
      <c r="B29" s="4"/>
      <c r="C29" s="4"/>
      <c r="D29" s="4"/>
      <c r="E29" s="4"/>
      <c r="F29" s="4"/>
      <c r="G29" s="4"/>
      <c r="H29" s="4"/>
    </row>
    <row r="30" ht="54.75" customHeight="1">
      <c r="A30" s="4"/>
      <c r="B30" s="4"/>
      <c r="C30" s="4"/>
      <c r="D30" s="4"/>
      <c r="E30" s="4"/>
      <c r="F30" s="4"/>
      <c r="G30" s="4"/>
      <c r="H30" s="4"/>
    </row>
    <row r="31" ht="54.75" customHeight="1">
      <c r="A31" s="4"/>
      <c r="B31" s="4"/>
      <c r="C31" s="4"/>
      <c r="D31" s="4"/>
      <c r="E31" s="4"/>
      <c r="F31" s="4"/>
      <c r="G31" s="4"/>
      <c r="H31" s="4"/>
    </row>
    <row r="32" ht="54.75" customHeight="1">
      <c r="A32" s="4"/>
      <c r="B32" s="4"/>
      <c r="C32" s="4"/>
      <c r="D32" s="4"/>
      <c r="E32" s="4"/>
      <c r="F32" s="4"/>
      <c r="G32" s="4"/>
      <c r="H32" s="4"/>
    </row>
    <row r="33" ht="54.75" customHeight="1">
      <c r="A33" s="4"/>
      <c r="B33" s="4"/>
      <c r="C33" s="4"/>
      <c r="D33" s="4"/>
      <c r="E33" s="4"/>
      <c r="F33" s="4"/>
      <c r="G33" s="4"/>
      <c r="H33" s="4"/>
    </row>
    <row r="34" ht="54.75" customHeight="1">
      <c r="A34" s="4"/>
      <c r="B34" s="4"/>
      <c r="C34" s="4"/>
      <c r="D34" s="4"/>
      <c r="E34" s="4"/>
      <c r="F34" s="4"/>
      <c r="G34" s="4"/>
      <c r="H34" s="4"/>
    </row>
    <row r="35" ht="54.75" customHeight="1">
      <c r="A35" s="4"/>
      <c r="B35" s="4"/>
      <c r="C35" s="4"/>
      <c r="D35" s="4"/>
      <c r="E35" s="4"/>
      <c r="F35" s="4"/>
      <c r="G35" s="4"/>
      <c r="H35" s="4"/>
    </row>
    <row r="36" ht="54.75" customHeight="1">
      <c r="A36" s="4"/>
      <c r="B36" s="4"/>
      <c r="C36" s="4"/>
      <c r="D36" s="4"/>
      <c r="E36" s="4"/>
      <c r="F36" s="4"/>
      <c r="G36" s="4"/>
      <c r="H36" s="4"/>
    </row>
    <row r="37" ht="54.75" customHeight="1">
      <c r="A37" s="4"/>
      <c r="B37" s="4"/>
      <c r="C37" s="4"/>
      <c r="D37" s="4"/>
      <c r="E37" s="4"/>
      <c r="F37" s="4"/>
      <c r="G37" s="4"/>
      <c r="H37" s="4"/>
    </row>
    <row r="38" ht="54.75" customHeight="1">
      <c r="A38" s="4"/>
      <c r="B38" s="4"/>
      <c r="C38" s="4"/>
      <c r="D38" s="4"/>
      <c r="E38" s="4"/>
      <c r="F38" s="4"/>
      <c r="G38" s="4"/>
      <c r="H38" s="4"/>
    </row>
    <row r="39" ht="54.75" customHeight="1">
      <c r="A39" s="4"/>
      <c r="B39" s="4"/>
      <c r="C39" s="4"/>
      <c r="D39" s="4"/>
      <c r="E39" s="4"/>
      <c r="F39" s="4"/>
      <c r="G39" s="4"/>
      <c r="H39" s="4"/>
    </row>
    <row r="40" ht="54.75" customHeight="1">
      <c r="A40" s="4"/>
      <c r="B40" s="4"/>
      <c r="C40" s="4"/>
      <c r="D40" s="4"/>
      <c r="E40" s="4"/>
      <c r="F40" s="4"/>
      <c r="G40" s="4"/>
      <c r="H40" s="4"/>
    </row>
    <row r="41" ht="54.75" customHeight="1">
      <c r="A41" s="4"/>
      <c r="B41" s="4"/>
      <c r="C41" s="4"/>
      <c r="D41" s="4"/>
      <c r="E41" s="4"/>
      <c r="F41" s="4"/>
      <c r="G41" s="4"/>
      <c r="H41" s="4"/>
    </row>
    <row r="42" ht="54.75" customHeight="1">
      <c r="A42" s="4"/>
      <c r="B42" s="4"/>
      <c r="C42" s="4"/>
      <c r="D42" s="4"/>
      <c r="E42" s="4"/>
      <c r="F42" s="4"/>
      <c r="G42" s="4"/>
      <c r="H42" s="4"/>
    </row>
    <row r="43" ht="54.75" customHeight="1">
      <c r="A43" s="4"/>
      <c r="B43" s="4"/>
      <c r="C43" s="4"/>
      <c r="D43" s="4"/>
      <c r="E43" s="4"/>
      <c r="F43" s="4"/>
      <c r="G43" s="4"/>
      <c r="H43" s="4"/>
    </row>
    <row r="44" ht="54.75" customHeight="1">
      <c r="A44" s="4"/>
      <c r="B44" s="4"/>
      <c r="C44" s="4"/>
      <c r="D44" s="4"/>
      <c r="E44" s="4"/>
      <c r="F44" s="4"/>
      <c r="G44" s="4"/>
      <c r="H44" s="4"/>
    </row>
    <row r="45" ht="54.75" customHeight="1">
      <c r="A45" s="4"/>
      <c r="B45" s="4"/>
      <c r="C45" s="4"/>
      <c r="D45" s="4"/>
      <c r="E45" s="4"/>
      <c r="F45" s="4"/>
      <c r="G45" s="4"/>
      <c r="H45" s="4"/>
    </row>
    <row r="46" ht="54.75" customHeight="1">
      <c r="A46" s="4"/>
      <c r="B46" s="4"/>
      <c r="C46" s="4"/>
      <c r="D46" s="4"/>
      <c r="E46" s="4"/>
      <c r="F46" s="4"/>
      <c r="G46" s="4"/>
      <c r="H46" s="4"/>
    </row>
    <row r="47" ht="54.75" customHeight="1">
      <c r="A47" s="4"/>
      <c r="B47" s="4"/>
      <c r="C47" s="4"/>
      <c r="D47" s="4"/>
      <c r="E47" s="4"/>
      <c r="F47" s="4"/>
      <c r="G47" s="4"/>
      <c r="H47" s="4"/>
    </row>
    <row r="48" ht="54.75" customHeight="1">
      <c r="A48" s="4"/>
      <c r="B48" s="4"/>
      <c r="C48" s="4"/>
      <c r="D48" s="4"/>
      <c r="E48" s="4"/>
      <c r="F48" s="4"/>
      <c r="G48" s="4"/>
      <c r="H48" s="4"/>
    </row>
    <row r="49" ht="54.75" customHeight="1">
      <c r="A49" s="4"/>
      <c r="B49" s="4"/>
      <c r="C49" s="4"/>
      <c r="D49" s="4"/>
      <c r="E49" s="4"/>
      <c r="F49" s="4"/>
      <c r="G49" s="4"/>
      <c r="H49" s="4"/>
    </row>
    <row r="50" ht="54.75" customHeight="1">
      <c r="A50" s="4"/>
      <c r="B50" s="4"/>
      <c r="C50" s="4"/>
      <c r="D50" s="4"/>
      <c r="E50" s="4"/>
      <c r="F50" s="4"/>
      <c r="G50" s="4"/>
      <c r="H50" s="4"/>
    </row>
    <row r="51" ht="54.75" customHeight="1">
      <c r="A51" s="4"/>
      <c r="B51" s="4"/>
      <c r="C51" s="4"/>
      <c r="D51" s="4"/>
      <c r="E51" s="4"/>
      <c r="F51" s="4"/>
      <c r="G51" s="4"/>
      <c r="H51" s="4"/>
    </row>
    <row r="52" ht="54.75" customHeight="1">
      <c r="A52" s="4"/>
      <c r="B52" s="4"/>
      <c r="C52" s="4"/>
      <c r="D52" s="4"/>
      <c r="E52" s="4"/>
      <c r="F52" s="4"/>
      <c r="G52" s="4"/>
      <c r="H52" s="4"/>
    </row>
    <row r="53" ht="54.75" customHeight="1">
      <c r="A53" s="4"/>
      <c r="B53" s="4"/>
      <c r="C53" s="4"/>
      <c r="D53" s="4"/>
      <c r="E53" s="4"/>
      <c r="F53" s="4"/>
      <c r="G53" s="4"/>
      <c r="H53" s="4"/>
    </row>
    <row r="54" ht="54.75" customHeight="1">
      <c r="A54" s="4"/>
      <c r="B54" s="4"/>
      <c r="C54" s="4"/>
      <c r="D54" s="4"/>
      <c r="E54" s="4"/>
      <c r="F54" s="4"/>
      <c r="G54" s="4"/>
      <c r="H54" s="4"/>
    </row>
    <row r="55" ht="54.75" customHeight="1">
      <c r="A55" s="4"/>
      <c r="B55" s="4"/>
      <c r="C55" s="4"/>
      <c r="D55" s="4"/>
      <c r="E55" s="4"/>
      <c r="F55" s="4"/>
      <c r="G55" s="4"/>
      <c r="H55" s="4"/>
    </row>
    <row r="56" ht="54.75" customHeight="1">
      <c r="A56" s="4"/>
      <c r="B56" s="4"/>
      <c r="C56" s="4"/>
      <c r="D56" s="4"/>
      <c r="E56" s="4"/>
      <c r="F56" s="4"/>
      <c r="G56" s="4"/>
      <c r="H56" s="4"/>
    </row>
    <row r="57" ht="54.75" customHeight="1">
      <c r="A57" s="4"/>
      <c r="B57" s="4"/>
      <c r="C57" s="4"/>
      <c r="D57" s="4"/>
      <c r="E57" s="4"/>
      <c r="F57" s="4"/>
      <c r="G57" s="4"/>
      <c r="H57" s="4"/>
    </row>
    <row r="58" ht="54.75" customHeight="1">
      <c r="A58" s="4"/>
      <c r="B58" s="4"/>
      <c r="C58" s="4"/>
      <c r="D58" s="4"/>
      <c r="E58" s="4"/>
      <c r="F58" s="4"/>
      <c r="G58" s="4"/>
      <c r="H58" s="4"/>
    </row>
    <row r="59" ht="54.75" customHeight="1">
      <c r="A59" s="4"/>
      <c r="B59" s="4"/>
      <c r="C59" s="4"/>
      <c r="D59" s="4"/>
      <c r="E59" s="4"/>
      <c r="F59" s="4"/>
      <c r="G59" s="4"/>
      <c r="H59" s="4"/>
    </row>
    <row r="60" ht="54.75" customHeight="1">
      <c r="A60" s="4"/>
      <c r="B60" s="4"/>
      <c r="C60" s="4"/>
      <c r="D60" s="4"/>
      <c r="E60" s="4"/>
      <c r="F60" s="4"/>
      <c r="G60" s="4"/>
      <c r="H60" s="4"/>
    </row>
    <row r="61" ht="54.75" customHeight="1">
      <c r="A61" s="4"/>
      <c r="B61" s="4"/>
      <c r="C61" s="4"/>
      <c r="D61" s="4"/>
      <c r="E61" s="4"/>
      <c r="F61" s="4"/>
      <c r="G61" s="4"/>
      <c r="H61" s="4"/>
    </row>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2:E61">
    <cfRule type="containsText" dxfId="0" priority="1" operator="containsText" text="PASS">
      <formula>NOT(ISERROR(SEARCH(("PASS"),(C2))))</formula>
    </cfRule>
  </conditionalFormatting>
  <conditionalFormatting sqref="C2:E61">
    <cfRule type="containsText" dxfId="1" priority="2" operator="containsText" text="FAIL">
      <formula>NOT(ISERROR(SEARCH(("FAIL"),(C2))))</formula>
    </cfRule>
  </conditionalFormatting>
  <printOptions/>
  <pageMargins bottom="0.75" footer="0.0" header="0.0" left="0.7" right="0.7" top="0.75"/>
  <pageSetup orientation="landscape"/>
  <drawing r:id="rId1"/>
</worksheet>
</file>