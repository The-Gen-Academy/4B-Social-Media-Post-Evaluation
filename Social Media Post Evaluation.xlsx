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59658ff1304539" /></Relationships>
</file>

<file path=xl/workbook.xml><?xml version="1.0" encoding="utf-8"?>
<x:workbook xmlns:x="http://schemas.openxmlformats.org/spreadsheetml/2006/main">
  <x:sheets>
    <x:sheet xmlns:r="http://schemas.openxmlformats.org/officeDocument/2006/relationships" name="Start Here" sheetId="1" r:id="Ra60c74bccba444c1"/>
    <x:sheet xmlns:r="http://schemas.openxmlformats.org/officeDocument/2006/relationships" name="Evaluation Log" sheetId="2" r:id="Rc25b9675dafc4da5"/>
    <x:sheet xmlns:r="http://schemas.openxmlformats.org/officeDocument/2006/relationships" name="Summary" sheetId="3" r:id="R3bffebb01c61495a"/>
    <x:sheet xmlns:r="http://schemas.openxmlformats.org/officeDocument/2006/relationships" name="Compare Runs" sheetId="4" r:id="Rd4c315767665471f"/>
    <x:sheet xmlns:r="http://schemas.openxmlformats.org/officeDocument/2006/relationships" name="Failure Analysis" sheetId="5" r:id="Rf416817ae9ee43a3"/>
    <x:sheet xmlns:r="http://schemas.openxmlformats.org/officeDocument/2006/relationships" name="Failure Traces" sheetId="6" r:id="R9097a85faca04401"/>
    <x:sheet xmlns:r="http://schemas.openxmlformats.org/officeDocument/2006/relationships" name="Worked Examples" sheetId="7" r:id="R03fa632cdea1441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sz val="11"/>
      <x:color rgb="FF162B40"/>
      <x:name val="Arial"/>
    </x:font>
    <x:font>
      <x:b/>
      <x:sz val="12"/>
      <x:color rgb="FFFFFFFF"/>
      <x:name val="Arial"/>
    </x:font>
    <x:font>
      <x:b/>
      <x:sz val="11"/>
      <x:color rgb="FF162B40"/>
      <x:name val="Arial"/>
    </x:font>
    <x:font>
      <x:b/>
      <x:sz val="11"/>
      <x:color rgb="FFFFFFFF"/>
      <x:name val="Arial"/>
    </x:font>
  </x:fonts>
  <x:fills count="8">
    <x:fill>
      <x:patternFill patternType="none"/>
    </x:fill>
    <x:fill>
      <x:patternFill patternType="gray125"/>
    </x:fill>
    <x:fill>
      <x:patternFill patternType="solid">
        <x:fgColor rgb="FF123C54"/>
      </x:patternFill>
    </x:fill>
    <x:fill>
      <x:patternFill patternType="solid">
        <x:fgColor rgb="FFE9F2FF"/>
      </x:patternFill>
    </x:fill>
    <x:fill>
      <x:patternFill patternType="solid">
        <x:fgColor rgb="FFEEF5F3"/>
      </x:patternFill>
    </x:fill>
    <x:fill>
      <x:patternFill patternType="solid">
        <x:fgColor rgb="FFF0F2F4"/>
      </x:patternFill>
    </x:fill>
    <x:fill>
      <x:patternFill patternType="solid">
        <x:fgColor rgb="FFDCECEF"/>
      </x:patternFill>
    </x:fill>
    <x:fill>
      <x:patternFill patternType="solid">
        <x:fgColor rgb="FFFFF4CC"/>
      </x:patternFill>
    </x:fill>
  </x:fills>
  <x:borders count="1">
    <x:border>
      <x:left/>
      <x:right/>
      <x:top/>
      <x:bottom/>
      <x:diagonal/>
    </x:border>
  </x:borders>
  <x:cellStyleXfs count="1">
    <x:xf numFmtId="0" fontId="0" fillId="0" borderId="0"/>
  </x:cellStyleXfs>
  <x:cellXfs count="1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4" fillId="2" borderId="0" xfId="0" applyNumberFormat="1" applyFont="1" applyFill="1" applyBorder="1" applyAlignment="1">
      <x:alignment vertical="top" wrapText="1"/>
    </x:xf>
  </x:cellXfs>
  <x:cellStyles count="1">
    <x:cellStyle name="Normal" xfId="0"/>
  </x:cellStyles>
  <x:dxfs count="7">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b5582d545440f2" /><Relationship Type="http://schemas.openxmlformats.org/officeDocument/2006/relationships/theme" Target="/xl/theme/theme1.xml" Id="Redfb95f5554d44e1" /><Relationship Type="http://schemas.openxmlformats.org/officeDocument/2006/relationships/sharedStrings" Target="/xl/sharedStrings.xml" Id="R9d440adf86a141b8" /><Relationship Type="http://schemas.openxmlformats.org/officeDocument/2006/relationships/worksheet" Target="/xl/worksheets/sheet1.xml" Id="Ra60c74bccba444c1" /><Relationship Type="http://schemas.openxmlformats.org/officeDocument/2006/relationships/worksheet" Target="/xl/worksheets/sheet2.xml" Id="Rc25b9675dafc4da5" /><Relationship Type="http://schemas.openxmlformats.org/officeDocument/2006/relationships/worksheet" Target="/xl/worksheets/sheet3.xml" Id="R3bffebb01c61495a" /><Relationship Type="http://schemas.openxmlformats.org/officeDocument/2006/relationships/worksheet" Target="/xl/worksheets/sheet4.xml" Id="Rd4c315767665471f" /><Relationship Type="http://schemas.openxmlformats.org/officeDocument/2006/relationships/worksheet" Target="/xl/worksheets/sheet5.xml" Id="Rf416817ae9ee43a3" /><Relationship Type="http://schemas.openxmlformats.org/officeDocument/2006/relationships/worksheet" Target="/xl/worksheets/sheet6.xml" Id="R9097a85faca04401" /><Relationship Type="http://schemas.openxmlformats.org/officeDocument/2006/relationships/worksheet" Target="/xl/worksheets/sheet7.xml" Id="R03fa632cdea1441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559999465942383" hidden="0" customWidth="1"/>
    <x:col min="2" max="2" width="91.11000061035156" hidden="0" customWidth="1"/>
  </x:cols>
  <x:sheetData>
    <x:row r="1" ht="31.5" customHeight="1">
      <x:c r="A1" s="5" t="str">
        <x:v>AI EVALUATIONS • HUMAN-LED PUBLICATION REVIEW</x:v>
      </x:c>
      <x:c r="B1" s="5" t="str"/>
    </x:row>
    <x:row r="2" ht="48" customHeight="1">
      <x:c r="A2" s="3" t="str">
        <x:v>Purpose</x:v>
      </x:c>
      <x:c r="B2" s="3" t="str">
        <x:v>Make an evidence-based PASS/FAIL decision for each exact post, find recurring failures, improve the generator, and test for regressions. Judge automation is optional.</x:v>
      </x:c>
    </x:row>
    <x:row r="3" ht="67.5" customHeight="1">
      <x:c r="A3" s="3" t="str">
        <x:v>1. Prepare context</x:v>
      </x:c>
      <x:c r="B3" s="3" t="str">
        <x:v>Use Evaluation Log. Keep Test_ID stable. Supply User_Input, Reference_Facts (source text, not just a URL), Constraints, Persona, Scenario, Source_Provenance and a Trace_Link when available. Mark Context_Status READY only after checking the evaluation packet.</x:v>
      </x:c>
    </x:row>
    <x:row r="4" ht="67.5" customHeight="1">
      <x:c r="A4" s="3" t="str">
        <x:v>2. Preserve runs</x:v>
      </x:c>
      <x:c r="B4" s="3" t="str">
        <x:v>Run_ID identifies one set of exact generated posts (for example baseline or revised). Use a new Run_ID for new posts. Keep one row per Test_ID + Run_ID. Paste workflow CSV data into A:AI only; AJ:AN contain formulas. Keep each judge version in its own workbook snapshot when comparing judges on the same posts.</x:v>
      </x:c>
    </x:row>
    <x:row r="5" ht="67.5" customHeight="1">
      <x:c r="A5" s="3" t="str">
        <x:v>3. Human review first</x:v>
      </x:c>
      <x:c r="B5" s="3" t="str">
        <x:v>Write Human_Critique using an observable quote or omission and the decisive requirement. Then set Human_Decision to PASS or FAIL and Human_Policy_Version = social-publication-v2. Human_Reviewer is optional. Leave the decision blank while context is incomplete. Review revised posts afresh.</x:v>
      </x:c>
    </x:row>
    <x:row r="6" ht="67.5" customHeight="1">
      <x:c r="A6" s="3" t="str">
        <x:v>4. Find failure patterns</x:v>
      </x:c>
      <x:c r="B6" s="3" t="str">
        <x:v>Assign one primary Failure_Tag to each human FAIL after reading the critiques. Record evidence and a proposed fix in Failure Traces; enter the observed tag names in Failure Analysis to count them. Categories are editable and should come from your examples.</x:v>
      </x:c>
    </x:row>
    <x:row r="7" ht="67.5" customHeight="1">
      <x:c r="A7" s="3" t="str">
        <x:v>5. Compare generators</x:v>
      </x:c>
      <x:c r="B7" s="3" t="str">
        <x:v>Prepare 30 development briefs and 10 reserved briefs. Generator_Split is DEVELOPMENT or RESERVED. Tune on development only. In Compare Runs, enter baseline/revised Run_ID values and case IDs. Freeze the generator before evaluating the reserved briefs and report that set separately.</x:v>
      </x:c>
    </x:row>
    <x:row r="8" ht="67.5" customHeight="1">
      <x:c r="A8" s="3" t="str">
        <x:v>6. Optional judge calibration</x:v>
      </x:c>
      <x:c r="B8" s="3" t="str">
        <x:v>Freeze 30 exact human-labeled baseline examples: 6 TRAIN, 12 DEV, 12 TEST. Group related briefs and all versions together. Only TRAIN examples enter the prompt; use DEV for revisions and TEST once after freezing. These judge splits are separate from Generator_Split.</x:v>
      </x:c>
    </x:row>
    <x:row r="9" ht="67.5" customHeight="1">
      <x:c r="A9" s="3" t="str">
        <x:v>7. Read judge results</x:v>
      </x:c>
      <x:c r="B9" s="3" t="str">
        <x:v>Jev_Decision is one binary choice. LLM_Critique and LLM_Decision come from an independent generative reviewer, not from Jev. Review disagreement and any missing critique. Model confidence is not measured accuracy. Human review remains authoritative.</x:v>
      </x:c>
    </x:row>
    <x:row r="10" ht="67.5" customHeight="1">
      <x:c r="A10" s="3" t="str">
        <x:v>8. Report honestly</x:v>
      </x:c>
      <x:c r="B10" s="3" t="str">
        <x:v>Summary filters by Run_ID, judge version and split. Read coverage, class counts, false-pass rate and false-fail rate together. A zero denominator displays “not estimable”. ERROR, NEEDS_CONTEXT, SKIPPED and AMBIGUOUS are execution states, never quality labels.</x:v>
      </x:c>
    </x:row>
    <x:row r="11" ht="67.5" customHeight="1">
      <x:c r="A11" s="3" t="str">
        <x:v>Publication policy</x:v>
      </x:c>
      <x:c r="B11" s="3" t="str">
        <x:v>PASS means all material requirements are met: supported claims, clear message, delivered promise, brief compliance and suitable audience/voice. Any material blocker means FAIL; optional polish can still PASS. A CTA, link or attachment is required only when the brief requires it.</x:v>
      </x:c>
    </x:row>
    <x:row r="12" ht="67.5" customHeight="1">
      <x:c r="A12" s="3" t="str">
        <x:v>Existing examples</x:v>
      </x:c>
      <x:c r="B12" s="3" t="str">
        <x:v>The 12 original posts and all repository instructor critiques are preserved in Evaluation Log. Their approved sources were absent. Prior feedback is stored as history; old scores and model decisions are not reused as v2 labels. Worked Examples are constructed illustrations and are excluded from Summary.</x:v>
      </x:c>
    </x:row>
    <x:row r="13" ht="67.5" customHeight="1">
      <x:c r="A13" s="3" t="str">
        <x:v>Capacity</x:v>
      </x:c>
      <x:c r="B13" s="3" t="str">
        <x:v>Evaluation Log supports 500 output rows; Compare Runs supports 100 paired cases. Extend the helper formulas, validations and formula ranges together if you exceed these limits. Keep raw responses in run logs or n8n execution exports.</x:v>
      </x:c>
    </x:row>
    <x:row r="14" ht="67.5" customHeight="1">
      <x:c r="A14" s="3" t="str">
        <x:v>Current walkthrough</x:v>
      </x:c>
      <x:c r="B14" s="3" t="str">
        <x:v>https://github.com/The-Gen-Academy/4B-Social-Media-Post-Evaluation/blob/main/docs/walkthrough.md</x:v>
      </x:c>
    </x:row>
    <x:row r="15" ht="67.5" customHeight="1">
      <x:c r="A15" s="3" t="str">
        <x:v>Handout</x:v>
      </x:c>
      <x:c r="B15" s="3" t="str">
        <x:v>https://docs.google.com/document/d/1tGiUY_TwSEagGAc0sL96trBsf2RK04OVu9VI_rTx7pA/edit</x:v>
      </x:c>
    </x:row>
    <x:row r="16" ht="67.5" customHeight="1">
      <x:c r="A16" s="3" t="str">
        <x:v>Principles</x:v>
      </x:c>
      <x:c r="B16" s="3" t="str">
        <x:v>https://hamel.dev/blog/posts/llm-judge/</x:v>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7.219999313354492" hidden="0" customWidth="1"/>
    <x:col min="2" max="2" width="17.219999313354492" hidden="0" customWidth="1"/>
    <x:col min="3" max="3" width="17.219999313354492" hidden="0" customWidth="1"/>
    <x:col min="4" max="4" width="17.219999313354492" hidden="0" customWidth="1"/>
    <x:col min="5" max="5" width="17.219999313354492" hidden="0" customWidth="1"/>
    <x:col min="6" max="6" width="40" hidden="0" customWidth="1"/>
    <x:col min="7" max="7" width="40" hidden="0" customWidth="1"/>
    <x:col min="8" max="8" width="40" hidden="0" customWidth="1"/>
    <x:col min="9" max="9" width="40" hidden="0" customWidth="1"/>
    <x:col min="10" max="10" width="17.219999313354492" hidden="0" customWidth="1"/>
    <x:col min="11" max="11" width="57.779998779296875" hidden="0" customWidth="1"/>
    <x:col min="12" max="12" width="17.219999313354492" hidden="0" customWidth="1"/>
    <x:col min="13" max="13" width="40" hidden="0" customWidth="1"/>
    <x:col min="14" max="14" width="17.219999313354492" hidden="0" customWidth="1"/>
    <x:col min="15" max="15" width="17.219999313354492" hidden="0" customWidth="1"/>
    <x:col min="16" max="16" width="25.559999465942383" hidden="0" customWidth="1"/>
    <x:col min="17" max="17" width="25.559999465942383" hidden="0" customWidth="1"/>
    <x:col min="18" max="18" width="17.219999313354492" hidden="0" customWidth="1"/>
    <x:col min="19" max="19" width="17.219999313354492" hidden="0" customWidth="1"/>
    <x:col min="20" max="20" width="17.219999313354492" hidden="0" customWidth="1"/>
    <x:col min="21" max="21" width="17.219999313354492" hidden="0" customWidth="1"/>
    <x:col min="22" max="22" width="17.219999313354492" hidden="0" customWidth="1"/>
    <x:col min="23" max="23" width="17.219999313354492" hidden="0" customWidth="1"/>
    <x:col min="24" max="24" width="40" hidden="0" customWidth="1"/>
    <x:col min="25" max="25" width="17.219999313354492" hidden="0" customWidth="1"/>
    <x:col min="26" max="26" width="17.219999313354492" hidden="0" customWidth="1"/>
    <x:col min="27" max="27" width="17.219999313354492" hidden="0" customWidth="1"/>
    <x:col min="28" max="28" width="40" hidden="0" customWidth="1"/>
    <x:col min="29" max="29" width="17.219999313354492" hidden="0" customWidth="1"/>
    <x:col min="30" max="30" width="40" hidden="0" customWidth="1"/>
    <x:col min="31" max="31" width="40" hidden="0" customWidth="1"/>
    <x:col min="32" max="32" width="17.219999313354492" hidden="0" customWidth="1"/>
    <x:col min="33" max="33" width="40" hidden="0" customWidth="1"/>
    <x:col min="34" max="34" width="40" hidden="0" customWidth="1"/>
    <x:col min="35" max="35" width="40" hidden="0" customWidth="1"/>
    <x:col min="36" max="36" width="17.219999313354492" hidden="0" customWidth="1"/>
    <x:col min="37" max="37" width="17.219999313354492" hidden="0" customWidth="1"/>
    <x:col min="38" max="38" width="17.219999313354492" hidden="0" customWidth="1"/>
    <x:col min="39" max="39" width="17.219999313354492" hidden="0" customWidth="1"/>
    <x:col min="40" max="40" width="40" hidden="0" customWidth="1"/>
  </x:cols>
  <x:sheetData>
    <x:row r="1" ht="48" customHeight="1">
      <x:c r="A1" s="5" t="str">
        <x:v>Test_ID</x:v>
      </x:c>
      <x:c r="B1" s="5" t="str">
        <x:v>Run_ID</x:v>
      </x:c>
      <x:c r="C1" s="5" t="str">
        <x:v>Generator_Version</x:v>
      </x:c>
      <x:c r="D1" s="5" t="str">
        <x:v>Generator_Split</x:v>
      </x:c>
      <x:c r="E1" s="5" t="str">
        <x:v>Judge_Split</x:v>
      </x:c>
      <x:c r="F1" s="5" t="str">
        <x:v>User_Input</x:v>
      </x:c>
      <x:c r="G1" s="5" t="str">
        <x:v>Reference_Facts</x:v>
      </x:c>
      <x:c r="H1" s="5" t="str">
        <x:v>Constraints</x:v>
      </x:c>
      <x:c r="I1" s="5" t="str">
        <x:v>Persona</x:v>
      </x:c>
      <x:c r="J1" s="5" t="str">
        <x:v>Context_Status</x:v>
      </x:c>
      <x:c r="K1" s="5" t="str">
        <x:v>Model_Output</x:v>
      </x:c>
      <x:c r="L1" s="5" t="str">
        <x:v>Human_Decision</x:v>
      </x:c>
      <x:c r="M1" s="5" t="str">
        <x:v>Human_Critique</x:v>
      </x:c>
      <x:c r="N1" s="5" t="str">
        <x:v>Failure_Tag</x:v>
      </x:c>
      <x:c r="O1" s="5" t="str">
        <x:v>Human_Reviewer</x:v>
      </x:c>
      <x:c r="P1" s="5" t="str">
        <x:v>Human_Policy_Version</x:v>
      </x:c>
      <x:c r="Q1" s="5" t="str">
        <x:v>Judge_Version</x:v>
      </x:c>
      <x:c r="R1" s="5" t="str">
        <x:v>Jev_Decision</x:v>
      </x:c>
      <x:c r="S1" s="5" t="str">
        <x:v>Jev_Run_Status</x:v>
      </x:c>
      <x:c r="T1" s="5" t="str">
        <x:v>Jev_Model</x:v>
      </x:c>
      <x:c r="U1" s="5" t="str">
        <x:v>Jev_PASS_Probability</x:v>
      </x:c>
      <x:c r="V1" s="5" t="str">
        <x:v>Jev_Confidence</x:v>
      </x:c>
      <x:c r="W1" s="5" t="str">
        <x:v>LLM_Decision</x:v>
      </x:c>
      <x:c r="X1" s="5" t="str">
        <x:v>LLM_Critique</x:v>
      </x:c>
      <x:c r="Y1" s="5" t="str">
        <x:v>LLM_Run_Status</x:v>
      </x:c>
      <x:c r="Z1" s="5" t="str">
        <x:v>LLM_Model</x:v>
      </x:c>
      <x:c r="AA1" s="5" t="str">
        <x:v>Review_Required</x:v>
      </x:c>
      <x:c r="AB1" s="5" t="str">
        <x:v>Review_Reasons</x:v>
      </x:c>
      <x:c r="AC1" s="5" t="str">
        <x:v>Evaluated_At</x:v>
      </x:c>
      <x:c r="AD1" s="5" t="str">
        <x:v>Error</x:v>
      </x:c>
      <x:c r="AE1" s="5" t="str">
        <x:v>Prior_Review_Notes</x:v>
      </x:c>
      <x:c r="AF1" s="5" t="str">
        <x:v>Generation_Status</x:v>
      </x:c>
      <x:c r="AG1" s="5" t="str">
        <x:v>Source_Provenance</x:v>
      </x:c>
      <x:c r="AH1" s="5" t="str">
        <x:v>Scenario</x:v>
      </x:c>
      <x:c r="AI1" s="5" t="str">
        <x:v>Trace_Link</x:v>
      </x:c>
      <x:c r="AJ1" s="8" t="str">
        <x:v>Case_Run_Key</x:v>
      </x:c>
      <x:c r="AK1" s="8" t="str">
        <x:v>Row_Check</x:v>
      </x:c>
      <x:c r="AL1" s="8" t="str">
        <x:v>Human_Label_Ready</x:v>
      </x:c>
      <x:c r="AM1" s="8" t="str">
        <x:v>Judge_Label_Ready</x:v>
      </x:c>
      <x:c r="AN1" s="8" t="str">
        <x:v>Brief_Key</x:v>
      </x:c>
    </x:row>
    <x:row r="2" ht="211.5" customHeight="1">
      <x:c r="A2" s="3" t="str">
        <x:v>POST_004</x:v>
      </x:c>
      <x:c r="B2" s="3" t="str">
        <x:v>imported-examples</x:v>
      </x:c>
      <x:c r="C2" s="3" t="str">
        <x:v>historical</x:v>
      </x:c>
      <x:c r="D2" s="3" t="str">
        <x:v>DEVELOPMENT</x:v>
      </x:c>
      <x:c r="E2" s="3" t="str"/>
      <x:c r="F2" s="3" t="str">
        <x:v>LLM Evaluation Resources Everyone Should Know</x:v>
      </x:c>
      <x:c r="G2" s="3" t="str"/>
      <x:c r="H2" s="3" t="str"/>
      <x:c r="I2" s="3" t="str"/>
      <x:c r="J2" s="3" t="str">
        <x:v>NEEDS_CONTEXT</x:v>
      </x:c>
      <x:c r="K2" s="3" t="str">
        <x: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v>
      </x:c>
      <x:c r="L2" s="6" t="str"/>
      <x:c r="M2" s="6" t="str"/>
      <x:c r="N2" s="6" t="str"/>
      <x:c r="O2" s="6" t="str"/>
      <x:c r="P2" s="6" t="str"/>
      <x:c r="Q2" s="7" t="str"/>
      <x:c r="R2" s="7" t="str"/>
      <x:c r="S2" s="7" t="str"/>
      <x:c r="T2" s="7" t="str"/>
      <x:c r="U2" s="7" t="str"/>
      <x:c r="V2" s="7" t="str"/>
      <x:c r="W2" s="7" t="str"/>
      <x:c r="X2" s="7" t="str"/>
      <x:c r="Y2" s="7" t="str"/>
      <x:c r="Z2" s="7" t="str"/>
      <x:c r="AA2" s="7" t="str"/>
      <x:c r="AB2" s="7" t="str"/>
      <x:c r="AC2" s="7" t="str"/>
      <x:c r="AD2" s="7" t="str"/>
      <x:c r="AE2" s="3" t="str">
        <x:v>Historical instructor feedback under the prior policy; review again before assigning a v2 label.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AF2" s="3" t="str"/>
      <x:c r="AG2" s="3" t="str">
        <x:v>Original shared workbook and repository workbook. Approved source facts were not supplied; current human and judge labels intentionally blank.</x:v>
      </x:c>
      <x:c r="AH2" s="3" t="str"/>
      <x:c r="AI2" s="3" t="str"/>
      <x:c r="AJ2" s="9" t="str">
        <x:f>IF(A2="","",A2&amp;"|"&amp;B2)</x:f>
        <x:v>POST_004|imported-examples</x:v>
      </x:c>
      <x:c r="AK2" s="9" t="str">
        <x:f>IF(A2="",IF(B2="","","MISSING_TEST_ID"),IF(B2="","MISSING_RUN_ID",IF(COUNTIFS($A$2:$A$501,A2,$B$2:$B$501,B2)&lt;&gt;1,"DUPLICATE_ID","OK")))</x:f>
        <x:v>OK</x:v>
      </x:c>
      <x:c r="AL2" s="9" t="str">
        <x:f>IF(A2="","",IF(AND(AK2="OK",J2="READY",F2&lt;&gt;"",G2&lt;&gt;"",K2&lt;&gt;"",OR(L2="PASS",L2="FAIL"),M2&lt;&gt;"",P2="social-publication-v2"),"YES","NO"))</x:f>
        <x:v>NO</x:v>
      </x:c>
      <x:c r="AM2" s="9" t="str">
        <x:f>IF(A2="","",IF(AND(AK2="OK",J2="READY",F2&lt;&gt;"",G2&lt;&gt;"",K2&lt;&gt;"",S2="OK",OR(R2="PASS",R2="FAIL")),"YES","NO"))</x:f>
        <x:v>NO</x:v>
      </x:c>
      <x:c r="AN2" s="9" t="str">
        <x:f>IF(A2="","",F2&amp;" | "&amp;G2&amp;" | "&amp;H2&amp;" | "&amp;I2)</x:f>
        <x:v>LLM Evaluation Resources Everyone Should Know |  |  | </x:v>
      </x:c>
    </x:row>
    <x:row r="3" ht="210" customHeight="1">
      <x:c r="A3" s="3" t="str">
        <x:v>POST_001</x:v>
      </x:c>
      <x:c r="B3" s="3" t="str">
        <x:v>imported-examples</x:v>
      </x:c>
      <x:c r="C3" s="3" t="str">
        <x:v>historical</x:v>
      </x:c>
      <x:c r="D3" s="3" t="str">
        <x:v>DEVELOPMENT</x:v>
      </x:c>
      <x:c r="E3" s="3" t="str"/>
      <x:c r="F3" s="3" t="str">
        <x:v>AI Evaluations Workshop Announcement</x:v>
      </x:c>
      <x:c r="G3" s="3" t="str"/>
      <x:c r="H3" s="3" t="str"/>
      <x:c r="I3" s="3" t="str"/>
      <x:c r="J3" s="3" t="str">
        <x:v>NEEDS_CONTEXT</x:v>
      </x:c>
      <x:c r="K3" s="3"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L3" s="6" t="str"/>
      <x:c r="M3" s="6" t="str"/>
      <x:c r="N3" s="6" t="str"/>
      <x:c r="O3" s="6" t="str"/>
      <x:c r="P3" s="6" t="str"/>
      <x:c r="Q3" s="7" t="str"/>
      <x:c r="R3" s="7" t="str"/>
      <x:c r="S3" s="7" t="str"/>
      <x:c r="T3" s="7" t="str"/>
      <x:c r="U3" s="7" t="str"/>
      <x:c r="V3" s="7" t="str"/>
      <x:c r="W3" s="7" t="str"/>
      <x:c r="X3" s="7" t="str"/>
      <x:c r="Y3" s="7" t="str"/>
      <x:c r="Z3" s="7" t="str"/>
      <x:c r="AA3" s="7" t="str"/>
      <x:c r="AB3" s="7" t="str"/>
      <x:c r="AC3" s="7" t="str"/>
      <x:c r="AD3" s="7" t="str"/>
      <x:c r="AE3" s="3" t="str">
        <x:v>Historical instructor feedback under the prior policy; review again before assigning a v2 label.
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v>
      </x:c>
      <x:c r="AF3" s="3" t="str"/>
      <x:c r="AG3" s="3" t="str">
        <x:v>Original shared workbook and repository workbook. Approved source facts were not supplied; current human and judge labels intentionally blank.</x:v>
      </x:c>
      <x:c r="AH3" s="3" t="str"/>
      <x:c r="AI3" s="3" t="str"/>
      <x:c r="AJ3" s="9" t="str">
        <x:f>IF(A3="","",A3&amp;"|"&amp;B3)</x:f>
        <x:v>POST_001|imported-examples</x:v>
      </x:c>
      <x:c r="AK3" s="9" t="str">
        <x:f>IF(A3="",IF(B3="","","MISSING_TEST_ID"),IF(B3="","MISSING_RUN_ID",IF(COUNTIFS($A$2:$A$501,A3,$B$2:$B$501,B3)&lt;&gt;1,"DUPLICATE_ID","OK")))</x:f>
        <x:v>OK</x:v>
      </x:c>
      <x:c r="AL3" s="9" t="str">
        <x:f>IF(A3="","",IF(AND(AK3="OK",J3="READY",F3&lt;&gt;"",G3&lt;&gt;"",K3&lt;&gt;"",OR(L3="PASS",L3="FAIL"),M3&lt;&gt;"",P3="social-publication-v2"),"YES","NO"))</x:f>
        <x:v>NO</x:v>
      </x:c>
      <x:c r="AM3" s="9" t="str">
        <x:f>IF(A3="","",IF(AND(AK3="OK",J3="READY",F3&lt;&gt;"",G3&lt;&gt;"",K3&lt;&gt;"",S3="OK",OR(R3="PASS",R3="FAIL")),"YES","NO"))</x:f>
        <x:v>NO</x:v>
      </x:c>
      <x:c r="AN3" s="9" t="str">
        <x:f>IF(A3="","",F3&amp;" | "&amp;G3&amp;" | "&amp;H3&amp;" | "&amp;I3)</x:f>
        <x:v>AI Evaluations Workshop Announcement |  |  | </x:v>
      </x:c>
    </x:row>
    <x:row r="4" ht="238.5" customHeight="1">
      <x:c r="A4" s="3" t="str">
        <x:v>POST_002</x:v>
      </x:c>
      <x:c r="B4" s="3" t="str">
        <x:v>imported-examples</x:v>
      </x:c>
      <x:c r="C4" s="3" t="str">
        <x:v>historical</x:v>
      </x:c>
      <x:c r="D4" s="3" t="str">
        <x:v>DEVELOPMENT</x:v>
      </x:c>
      <x:c r="E4" s="3" t="str"/>
      <x:c r="F4" s="3" t="str">
        <x:v>Evaluating RAG Pipelines: A Framework for Production-Ready Retrieval Systems</x:v>
      </x:c>
      <x:c r="G4" s="3" t="str"/>
      <x:c r="H4" s="3" t="str"/>
      <x:c r="I4" s="3" t="str"/>
      <x:c r="J4" s="3" t="str">
        <x:v>NEEDS_CONTEXT</x:v>
      </x:c>
      <x:c r="K4" s="3" t="str">
        <x: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v>
      </x:c>
      <x:c r="L4" s="6" t="str"/>
      <x:c r="M4" s="6" t="str"/>
      <x:c r="N4" s="6" t="str"/>
      <x:c r="O4" s="6" t="str"/>
      <x:c r="P4" s="6" t="str"/>
      <x:c r="Q4" s="7" t="str"/>
      <x:c r="R4" s="7" t="str"/>
      <x:c r="S4" s="7" t="str"/>
      <x:c r="T4" s="7" t="str"/>
      <x:c r="U4" s="7" t="str"/>
      <x:c r="V4" s="7" t="str"/>
      <x:c r="W4" s="7" t="str"/>
      <x:c r="X4" s="7" t="str"/>
      <x:c r="Y4" s="7" t="str"/>
      <x:c r="Z4" s="7" t="str"/>
      <x:c r="AA4" s="7" t="str"/>
      <x:c r="AB4" s="7" t="str"/>
      <x:c r="AC4" s="7" t="str"/>
      <x:c r="AD4" s="7" t="str"/>
      <x:c r="AE4" s="3" t="str">
        <x:v>Historical instructor feedback under the prior policy; review again before assigning a v2 label.
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v>
      </x:c>
      <x:c r="AF4" s="3" t="str"/>
      <x:c r="AG4" s="3" t="str">
        <x:v>Original shared workbook and repository workbook. Approved source facts were not supplied; current human and judge labels intentionally blank.</x:v>
      </x:c>
      <x:c r="AH4" s="3" t="str"/>
      <x:c r="AI4" s="3" t="str"/>
      <x:c r="AJ4" s="9" t="str">
        <x:f>IF(A4="","",A4&amp;"|"&amp;B4)</x:f>
        <x:v>POST_002|imported-examples</x:v>
      </x:c>
      <x:c r="AK4" s="9" t="str">
        <x:f>IF(A4="",IF(B4="","","MISSING_TEST_ID"),IF(B4="","MISSING_RUN_ID",IF(COUNTIFS($A$2:$A$501,A4,$B$2:$B$501,B4)&lt;&gt;1,"DUPLICATE_ID","OK")))</x:f>
        <x:v>OK</x:v>
      </x:c>
      <x:c r="AL4" s="9" t="str">
        <x:f>IF(A4="","",IF(AND(AK4="OK",J4="READY",F4&lt;&gt;"",G4&lt;&gt;"",K4&lt;&gt;"",OR(L4="PASS",L4="FAIL"),M4&lt;&gt;"",P4="social-publication-v2"),"YES","NO"))</x:f>
        <x:v>NO</x:v>
      </x:c>
      <x:c r="AM4" s="9" t="str">
        <x:f>IF(A4="","",IF(AND(AK4="OK",J4="READY",F4&lt;&gt;"",G4&lt;&gt;"",K4&lt;&gt;"",S4="OK",OR(R4="PASS",R4="FAIL")),"YES","NO"))</x:f>
        <x:v>NO</x:v>
      </x:c>
      <x:c r="AN4" s="9" t="str">
        <x:f>IF(A4="","",F4&amp;" | "&amp;G4&amp;" | "&amp;H4&amp;" | "&amp;I4)</x:f>
        <x:v>Evaluating RAG Pipelines: A Framework for Production-Ready Retrieval Systems |  |  | </x:v>
      </x:c>
    </x:row>
    <x:row r="5" ht="210" customHeight="1">
      <x:c r="A5" s="3" t="str">
        <x:v>POST_003</x:v>
      </x:c>
      <x:c r="B5" s="3" t="str">
        <x:v>imported-examples</x:v>
      </x:c>
      <x:c r="C5" s="3" t="str">
        <x:v>historical</x:v>
      </x:c>
      <x:c r="D5" s="3" t="str">
        <x:v>DEVELOPMENT</x:v>
      </x:c>
      <x:c r="E5" s="3" t="str"/>
      <x:c r="F5" s="3" t="str">
        <x:v>Register for our AI Evaluations Workshop Now!</x:v>
      </x:c>
      <x:c r="G5" s="3" t="str"/>
      <x:c r="H5" s="3" t="str"/>
      <x:c r="I5" s="3" t="str"/>
      <x:c r="J5" s="3" t="str">
        <x:v>NEEDS_CONTEXT</x:v>
      </x:c>
      <x:c r="K5" s="3" t="str">
        <x: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v>
      </x:c>
      <x:c r="L5" s="6" t="str"/>
      <x:c r="M5" s="6" t="str"/>
      <x:c r="N5" s="6" t="str"/>
      <x:c r="O5" s="6" t="str"/>
      <x:c r="P5" s="6" t="str"/>
      <x:c r="Q5" s="7" t="str"/>
      <x:c r="R5" s="7" t="str"/>
      <x:c r="S5" s="7" t="str"/>
      <x:c r="T5" s="7" t="str"/>
      <x:c r="U5" s="7" t="str"/>
      <x:c r="V5" s="7" t="str"/>
      <x:c r="W5" s="7" t="str"/>
      <x:c r="X5" s="7" t="str"/>
      <x:c r="Y5" s="7" t="str"/>
      <x:c r="Z5" s="7" t="str"/>
      <x:c r="AA5" s="7" t="str"/>
      <x:c r="AB5" s="7" t="str"/>
      <x:c r="AC5" s="7" t="str"/>
      <x:c r="AD5" s="7" t="str"/>
      <x:c r="AE5" s="3" t="str">
        <x:v>Historical instructor feedback under the prior policy; review again before assigning a v2 label.
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v>
      </x:c>
      <x:c r="AF5" s="3" t="str"/>
      <x:c r="AG5" s="3" t="str">
        <x:v>Original shared workbook and repository workbook. Approved source facts were not supplied; current human and judge labels intentionally blank.</x:v>
      </x:c>
      <x:c r="AH5" s="3" t="str"/>
      <x:c r="AI5" s="3" t="str"/>
      <x:c r="AJ5" s="9" t="str">
        <x:f>IF(A5="","",A5&amp;"|"&amp;B5)</x:f>
        <x:v>POST_003|imported-examples</x:v>
      </x:c>
      <x:c r="AK5" s="9" t="str">
        <x:f>IF(A5="",IF(B5="","","MISSING_TEST_ID"),IF(B5="","MISSING_RUN_ID",IF(COUNTIFS($A$2:$A$501,A5,$B$2:$B$501,B5)&lt;&gt;1,"DUPLICATE_ID","OK")))</x:f>
        <x:v>OK</x:v>
      </x:c>
      <x:c r="AL5" s="9" t="str">
        <x:f>IF(A5="","",IF(AND(AK5="OK",J5="READY",F5&lt;&gt;"",G5&lt;&gt;"",K5&lt;&gt;"",OR(L5="PASS",L5="FAIL"),M5&lt;&gt;"",P5="social-publication-v2"),"YES","NO"))</x:f>
        <x:v>NO</x:v>
      </x:c>
      <x:c r="AM5" s="9" t="str">
        <x:f>IF(A5="","",IF(AND(AK5="OK",J5="READY",F5&lt;&gt;"",G5&lt;&gt;"",K5&lt;&gt;"",S5="OK",OR(R5="PASS",R5="FAIL")),"YES","NO"))</x:f>
        <x:v>NO</x:v>
      </x:c>
      <x:c r="AN5" s="9" t="str">
        <x:f>IF(A5="","",F5&amp;" | "&amp;G5&amp;" | "&amp;H5&amp;" | "&amp;I5)</x:f>
        <x:v>Register for our AI Evaluations Workshop Now! |  |  | </x:v>
      </x:c>
    </x:row>
    <x:row r="6" ht="211.5" customHeight="1">
      <x:c r="A6" s="3" t="str">
        <x:v>POST_005</x:v>
      </x:c>
      <x:c r="B6" s="3" t="str">
        <x:v>imported-examples</x:v>
      </x:c>
      <x:c r="C6" s="3" t="str">
        <x:v>historical</x:v>
      </x:c>
      <x:c r="D6" s="3" t="str">
        <x:v>DEVELOPMENT</x:v>
      </x:c>
      <x:c r="E6" s="3" t="str"/>
      <x:c r="F6" s="3" t="str">
        <x:v>Testing AI Agent Skills: A Framework for Systematic Evaluation</x:v>
      </x:c>
      <x:c r="G6" s="3" t="str"/>
      <x:c r="H6" s="3" t="str"/>
      <x:c r="I6" s="3" t="str"/>
      <x:c r="J6" s="3" t="str">
        <x:v>NEEDS_CONTEXT</x:v>
      </x:c>
      <x:c r="K6" s="3" t="str">
        <x: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v>
      </x:c>
      <x:c r="L6" s="6" t="str"/>
      <x:c r="M6" s="6" t="str"/>
      <x:c r="N6" s="6" t="str"/>
      <x:c r="O6" s="6" t="str"/>
      <x:c r="P6" s="6" t="str"/>
      <x:c r="Q6" s="7" t="str"/>
      <x:c r="R6" s="7" t="str"/>
      <x:c r="S6" s="7" t="str"/>
      <x:c r="T6" s="7" t="str"/>
      <x:c r="U6" s="7" t="str"/>
      <x:c r="V6" s="7" t="str"/>
      <x:c r="W6" s="7" t="str"/>
      <x:c r="X6" s="7" t="str"/>
      <x:c r="Y6" s="7" t="str"/>
      <x:c r="Z6" s="7" t="str"/>
      <x:c r="AA6" s="7" t="str"/>
      <x:c r="AB6" s="7" t="str"/>
      <x:c r="AC6" s="7" t="str"/>
      <x:c r="AD6" s="7" t="str"/>
      <x:c r="AE6" s="3" t="str">
        <x:v>Historical instructor feedback under the prior policy; review again before assigning a v2 label.
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v>
      </x:c>
      <x:c r="AF6" s="3" t="str"/>
      <x:c r="AG6" s="3" t="str">
        <x:v>Original shared workbook and repository workbook. Approved source facts were not supplied; current human and judge labels intentionally blank.</x:v>
      </x:c>
      <x:c r="AH6" s="3" t="str"/>
      <x:c r="AI6" s="3" t="str"/>
      <x:c r="AJ6" s="9" t="str">
        <x:f>IF(A6="","",A6&amp;"|"&amp;B6)</x:f>
        <x:v>POST_005|imported-examples</x:v>
      </x:c>
      <x:c r="AK6" s="9" t="str">
        <x:f>IF(A6="",IF(B6="","","MISSING_TEST_ID"),IF(B6="","MISSING_RUN_ID",IF(COUNTIFS($A$2:$A$501,A6,$B$2:$B$501,B6)&lt;&gt;1,"DUPLICATE_ID","OK")))</x:f>
        <x:v>OK</x:v>
      </x:c>
      <x:c r="AL6" s="9" t="str">
        <x:f>IF(A6="","",IF(AND(AK6="OK",J6="READY",F6&lt;&gt;"",G6&lt;&gt;"",K6&lt;&gt;"",OR(L6="PASS",L6="FAIL"),M6&lt;&gt;"",P6="social-publication-v2"),"YES","NO"))</x:f>
        <x:v>NO</x:v>
      </x:c>
      <x:c r="AM6" s="9" t="str">
        <x:f>IF(A6="","",IF(AND(AK6="OK",J6="READY",F6&lt;&gt;"",G6&lt;&gt;"",K6&lt;&gt;"",S6="OK",OR(R6="PASS",R6="FAIL")),"YES","NO"))</x:f>
        <x:v>NO</x:v>
      </x:c>
      <x:c r="AN6" s="9" t="str">
        <x:f>IF(A6="","",F6&amp;" | "&amp;G6&amp;" | "&amp;H6&amp;" | "&amp;I6)</x:f>
        <x:v>Testing AI Agent Skills: A Framework for Systematic Evaluation |  |  | </x:v>
      </x:c>
    </x:row>
    <x:row r="7" ht="210" customHeight="1">
      <x:c r="A7" s="3" t="str">
        <x:v>POST_006</x:v>
      </x:c>
      <x:c r="B7" s="3" t="str">
        <x:v>imported-examples</x:v>
      </x:c>
      <x:c r="C7" s="3" t="str">
        <x:v>historical</x:v>
      </x:c>
      <x:c r="D7" s="3" t="str">
        <x:v>DEVELOPMENT</x:v>
      </x:c>
      <x:c r="E7" s="3" t="str"/>
      <x:c r="F7" s="3" t="str">
        <x:v>Join Us For Our AI Evals Workshop on February 15!</x:v>
      </x:c>
      <x:c r="G7" s="3" t="str"/>
      <x:c r="H7" s="3" t="str"/>
      <x:c r="I7" s="3" t="str"/>
      <x:c r="J7" s="3" t="str">
        <x:v>NEEDS_CONTEXT</x:v>
      </x:c>
      <x:c r="K7" s="3" t="str">
        <x: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v>
      </x:c>
      <x:c r="L7" s="6" t="str"/>
      <x:c r="M7" s="6" t="str"/>
      <x:c r="N7" s="6" t="str"/>
      <x:c r="O7" s="6" t="str"/>
      <x:c r="P7" s="6" t="str"/>
      <x:c r="Q7" s="7" t="str"/>
      <x:c r="R7" s="7" t="str"/>
      <x:c r="S7" s="7" t="str"/>
      <x:c r="T7" s="7" t="str"/>
      <x:c r="U7" s="7" t="str"/>
      <x:c r="V7" s="7" t="str"/>
      <x:c r="W7" s="7" t="str"/>
      <x:c r="X7" s="7" t="str"/>
      <x:c r="Y7" s="7" t="str"/>
      <x:c r="Z7" s="7" t="str"/>
      <x:c r="AA7" s="7" t="str"/>
      <x:c r="AB7" s="7" t="str"/>
      <x:c r="AC7" s="7" t="str"/>
      <x:c r="AD7" s="7" t="str"/>
      <x:c r="AE7" s="3" t="str">
        <x:v>Historical instructor feedback under the prior policy; review again before assigning a v2 label.
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v>
      </x:c>
      <x:c r="AF7" s="3" t="str"/>
      <x:c r="AG7" s="3" t="str">
        <x:v>Original shared workbook and repository workbook. Approved source facts were not supplied; current human and judge labels intentionally blank.</x:v>
      </x:c>
      <x:c r="AH7" s="3" t="str"/>
      <x:c r="AI7" s="3" t="str"/>
      <x:c r="AJ7" s="9" t="str">
        <x:f>IF(A7="","",A7&amp;"|"&amp;B7)</x:f>
        <x:v>POST_006|imported-examples</x:v>
      </x:c>
      <x:c r="AK7" s="9" t="str">
        <x:f>IF(A7="",IF(B7="","","MISSING_TEST_ID"),IF(B7="","MISSING_RUN_ID",IF(COUNTIFS($A$2:$A$501,A7,$B$2:$B$501,B7)&lt;&gt;1,"DUPLICATE_ID","OK")))</x:f>
        <x:v>OK</x:v>
      </x:c>
      <x:c r="AL7" s="9" t="str">
        <x:f>IF(A7="","",IF(AND(AK7="OK",J7="READY",F7&lt;&gt;"",G7&lt;&gt;"",K7&lt;&gt;"",OR(L7="PASS",L7="FAIL"),M7&lt;&gt;"",P7="social-publication-v2"),"YES","NO"))</x:f>
        <x:v>NO</x:v>
      </x:c>
      <x:c r="AM7" s="9" t="str">
        <x:f>IF(A7="","",IF(AND(AK7="OK",J7="READY",F7&lt;&gt;"",G7&lt;&gt;"",K7&lt;&gt;"",S7="OK",OR(R7="PASS",R7="FAIL")),"YES","NO"))</x:f>
        <x:v>NO</x:v>
      </x:c>
      <x:c r="AN7" s="9" t="str">
        <x:f>IF(A7="","",F7&amp;" | "&amp;G7&amp;" | "&amp;H7&amp;" | "&amp;I7)</x:f>
        <x:v>Join Us For Our AI Evals Workshop on February 15! |  |  | </x:v>
      </x:c>
    </x:row>
    <x:row r="8" ht="210" customHeight="1">
      <x:c r="A8" s="3" t="str">
        <x:v>POST_007</x:v>
      </x:c>
      <x:c r="B8" s="3" t="str">
        <x:v>imported-examples</x:v>
      </x:c>
      <x:c r="C8" s="3" t="str">
        <x:v>historical</x:v>
      </x:c>
      <x:c r="D8" s="3" t="str">
        <x:v>DEVELOPMENT</x:v>
      </x:c>
      <x:c r="E8" s="3" t="str"/>
      <x:c r="F8" s="3" t="str">
        <x:v>LLM Evaluation: Why Testing AI Models Matters</x:v>
      </x:c>
      <x:c r="G8" s="3" t="str"/>
      <x:c r="H8" s="3" t="str"/>
      <x:c r="I8" s="3" t="str"/>
      <x:c r="J8" s="3" t="str">
        <x:v>NEEDS_CONTEXT</x:v>
      </x:c>
      <x:c r="K8" s="3" t="str">
        <x: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v>
      </x:c>
      <x:c r="L8" s="6" t="str"/>
      <x:c r="M8" s="6" t="str"/>
      <x:c r="N8" s="6" t="str"/>
      <x:c r="O8" s="6" t="str"/>
      <x:c r="P8" s="6" t="str"/>
      <x:c r="Q8" s="7" t="str"/>
      <x:c r="R8" s="7" t="str"/>
      <x:c r="S8" s="7" t="str"/>
      <x:c r="T8" s="7" t="str"/>
      <x:c r="U8" s="7" t="str"/>
      <x:c r="V8" s="7" t="str"/>
      <x:c r="W8" s="7" t="str"/>
      <x:c r="X8" s="7" t="str"/>
      <x:c r="Y8" s="7" t="str"/>
      <x:c r="Z8" s="7" t="str"/>
      <x:c r="AA8" s="7" t="str"/>
      <x:c r="AB8" s="7" t="str"/>
      <x:c r="AC8" s="7" t="str"/>
      <x:c r="AD8" s="7" t="str"/>
      <x:c r="AE8" s="3" t="str">
        <x:v>Historical instructor feedback under the prior policy; review again before assigning a v2 label.
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v>
      </x:c>
      <x:c r="AF8" s="3" t="str"/>
      <x:c r="AG8" s="3" t="str">
        <x:v>Original shared workbook and repository workbook. Approved source facts were not supplied; current human and judge labels intentionally blank.</x:v>
      </x:c>
      <x:c r="AH8" s="3" t="str"/>
      <x:c r="AI8" s="3" t="str"/>
      <x:c r="AJ8" s="9" t="str">
        <x:f>IF(A8="","",A8&amp;"|"&amp;B8)</x:f>
        <x:v>POST_007|imported-examples</x:v>
      </x:c>
      <x:c r="AK8" s="9" t="str">
        <x:f>IF(A8="",IF(B8="","","MISSING_TEST_ID"),IF(B8="","MISSING_RUN_ID",IF(COUNTIFS($A$2:$A$501,A8,$B$2:$B$501,B8)&lt;&gt;1,"DUPLICATE_ID","OK")))</x:f>
        <x:v>OK</x:v>
      </x:c>
      <x:c r="AL8" s="9" t="str">
        <x:f>IF(A8="","",IF(AND(AK8="OK",J8="READY",F8&lt;&gt;"",G8&lt;&gt;"",K8&lt;&gt;"",OR(L8="PASS",L8="FAIL"),M8&lt;&gt;"",P8="social-publication-v2"),"YES","NO"))</x:f>
        <x:v>NO</x:v>
      </x:c>
      <x:c r="AM8" s="9" t="str">
        <x:f>IF(A8="","",IF(AND(AK8="OK",J8="READY",F8&lt;&gt;"",G8&lt;&gt;"",K8&lt;&gt;"",S8="OK",OR(R8="PASS",R8="FAIL")),"YES","NO"))</x:f>
        <x:v>NO</x:v>
      </x:c>
      <x:c r="AN8" s="9" t="str">
        <x:f>IF(A8="","",F8&amp;" | "&amp;G8&amp;" | "&amp;H8&amp;" | "&amp;I8)</x:f>
        <x:v>LLM Evaluation: Why Testing AI Models Matters |  |  | </x:v>
      </x:c>
    </x:row>
    <x:row r="9" ht="210" customHeight="1">
      <x:c r="A9" s="3" t="str">
        <x:v>POST_008</x:v>
      </x:c>
      <x:c r="B9" s="3" t="str">
        <x:v>imported-examples</x:v>
      </x:c>
      <x:c r="C9" s="3" t="str">
        <x:v>historical</x:v>
      </x:c>
      <x:c r="D9" s="3" t="str">
        <x:v>DEVELOPMENT</x:v>
      </x:c>
      <x:c r="E9" s="3" t="str"/>
      <x:c r="F9" s="3" t="str">
        <x:v>AI Evals Cheat Sheet</x:v>
      </x:c>
      <x:c r="G9" s="3" t="str"/>
      <x:c r="H9" s="3" t="str"/>
      <x:c r="I9" s="3" t="str"/>
      <x:c r="J9" s="3" t="str">
        <x:v>NEEDS_CONTEXT</x:v>
      </x:c>
      <x:c r="K9" s="3" t="str">
        <x: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v>
      </x:c>
      <x:c r="L9" s="6" t="str"/>
      <x:c r="M9" s="6" t="str"/>
      <x:c r="N9" s="6" t="str"/>
      <x:c r="O9" s="6" t="str"/>
      <x:c r="P9" s="6" t="str"/>
      <x:c r="Q9" s="7" t="str"/>
      <x:c r="R9" s="7" t="str"/>
      <x:c r="S9" s="7" t="str"/>
      <x:c r="T9" s="7" t="str"/>
      <x:c r="U9" s="7" t="str"/>
      <x:c r="V9" s="7" t="str"/>
      <x:c r="W9" s="7" t="str"/>
      <x:c r="X9" s="7" t="str"/>
      <x:c r="Y9" s="7" t="str"/>
      <x:c r="Z9" s="7" t="str"/>
      <x:c r="AA9" s="7" t="str"/>
      <x:c r="AB9" s="7" t="str"/>
      <x:c r="AC9" s="7" t="str"/>
      <x:c r="AD9" s="7" t="str"/>
      <x:c r="AE9" s="3" t="str">
        <x:v>Historical instructor feedback under the prior policy; review again before assigning a v2 label.
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v>
      </x:c>
      <x:c r="AF9" s="3" t="str"/>
      <x:c r="AG9" s="3" t="str">
        <x:v>Original shared workbook and repository workbook. Approved source facts were not supplied; current human and judge labels intentionally blank.</x:v>
      </x:c>
      <x:c r="AH9" s="3" t="str"/>
      <x:c r="AI9" s="3" t="str"/>
      <x:c r="AJ9" s="9" t="str">
        <x:f>IF(A9="","",A9&amp;"|"&amp;B9)</x:f>
        <x:v>POST_008|imported-examples</x:v>
      </x:c>
      <x:c r="AK9" s="9" t="str">
        <x:f>IF(A9="",IF(B9="","","MISSING_TEST_ID"),IF(B9="","MISSING_RUN_ID",IF(COUNTIFS($A$2:$A$501,A9,$B$2:$B$501,B9)&lt;&gt;1,"DUPLICATE_ID","OK")))</x:f>
        <x:v>OK</x:v>
      </x:c>
      <x:c r="AL9" s="9" t="str">
        <x:f>IF(A9="","",IF(AND(AK9="OK",J9="READY",F9&lt;&gt;"",G9&lt;&gt;"",K9&lt;&gt;"",OR(L9="PASS",L9="FAIL"),M9&lt;&gt;"",P9="social-publication-v2"),"YES","NO"))</x:f>
        <x:v>NO</x:v>
      </x:c>
      <x:c r="AM9" s="9" t="str">
        <x:f>IF(A9="","",IF(AND(AK9="OK",J9="READY",F9&lt;&gt;"",G9&lt;&gt;"",K9&lt;&gt;"",S9="OK",OR(R9="PASS",R9="FAIL")),"YES","NO"))</x:f>
        <x:v>NO</x:v>
      </x:c>
      <x:c r="AN9" s="9" t="str">
        <x:f>IF(A9="","",F9&amp;" | "&amp;G9&amp;" | "&amp;H9&amp;" | "&amp;I9)</x:f>
        <x:v>AI Evals Cheat Sheet |  |  | </x:v>
      </x:c>
    </x:row>
    <x:row r="10" ht="210" customHeight="1">
      <x:c r="A10" s="3" t="str">
        <x:v>POST_009</x:v>
      </x:c>
      <x:c r="B10" s="3" t="str">
        <x:v>imported-examples</x:v>
      </x:c>
      <x:c r="C10" s="3" t="str">
        <x:v>historical</x:v>
      </x:c>
      <x:c r="D10" s="3" t="str">
        <x:v>DEVELOPMENT</x:v>
      </x:c>
      <x:c r="E10" s="3" t="str"/>
      <x:c r="F10" s="3" t="str">
        <x:v>Four Questions Your RAG Eval Must Answer</x:v>
      </x:c>
      <x:c r="G10" s="3" t="str"/>
      <x:c r="H10" s="3" t="str"/>
      <x:c r="I10" s="3" t="str"/>
      <x:c r="J10" s="3" t="str">
        <x:v>NEEDS_CONTEXT</x:v>
      </x:c>
      <x:c r="K10" s="3" t="str">
        <x: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v>
      </x:c>
      <x:c r="L10" s="6" t="str"/>
      <x:c r="M10" s="6" t="str"/>
      <x:c r="N10" s="6" t="str"/>
      <x:c r="O10" s="6" t="str"/>
      <x:c r="P10" s="6" t="str"/>
      <x:c r="Q10" s="7" t="str"/>
      <x:c r="R10" s="7" t="str"/>
      <x:c r="S10" s="7" t="str"/>
      <x:c r="T10" s="7" t="str"/>
      <x:c r="U10" s="7" t="str"/>
      <x:c r="V10" s="7" t="str"/>
      <x:c r="W10" s="7" t="str"/>
      <x:c r="X10" s="7" t="str"/>
      <x:c r="Y10" s="7" t="str"/>
      <x:c r="Z10" s="7" t="str"/>
      <x:c r="AA10" s="7" t="str"/>
      <x:c r="AB10" s="7" t="str"/>
      <x:c r="AC10" s="7" t="str"/>
      <x:c r="AD10" s="7" t="str"/>
      <x:c r="AE10" s="3" t="str">
        <x:v>Historical instructor feedback under the prior policy; review again before assigning a v2 label.
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v>
      </x:c>
      <x:c r="AF10" s="3" t="str"/>
      <x:c r="AG10" s="3" t="str">
        <x:v>Original shared workbook and repository workbook. Approved source facts were not supplied; current human and judge labels intentionally blank.</x:v>
      </x:c>
      <x:c r="AH10" s="3" t="str"/>
      <x:c r="AI10" s="3" t="str"/>
      <x:c r="AJ10" s="9" t="str">
        <x:f>IF(A10="","",A10&amp;"|"&amp;B10)</x:f>
        <x:v>POST_009|imported-examples</x:v>
      </x:c>
      <x:c r="AK10" s="9" t="str">
        <x:f>IF(A10="",IF(B10="","","MISSING_TEST_ID"),IF(B10="","MISSING_RUN_ID",IF(COUNTIFS($A$2:$A$501,A10,$B$2:$B$501,B10)&lt;&gt;1,"DUPLICATE_ID","OK")))</x:f>
        <x:v>OK</x:v>
      </x:c>
      <x:c r="AL10" s="9" t="str">
        <x:f>IF(A10="","",IF(AND(AK10="OK",J10="READY",F10&lt;&gt;"",G10&lt;&gt;"",K10&lt;&gt;"",OR(L10="PASS",L10="FAIL"),M10&lt;&gt;"",P10="social-publication-v2"),"YES","NO"))</x:f>
        <x:v>NO</x:v>
      </x:c>
      <x:c r="AM10" s="9" t="str">
        <x:f>IF(A10="","",IF(AND(AK10="OK",J10="READY",F10&lt;&gt;"",G10&lt;&gt;"",K10&lt;&gt;"",S10="OK",OR(R10="PASS",R10="FAIL")),"YES","NO"))</x:f>
        <x:v>NO</x:v>
      </x:c>
      <x:c r="AN10" s="9" t="str">
        <x:f>IF(A10="","",F10&amp;" | "&amp;G10&amp;" | "&amp;H10&amp;" | "&amp;I10)</x:f>
        <x:v>Four Questions Your RAG Eval Must Answer |  |  | </x:v>
      </x:c>
    </x:row>
    <x:row r="11" ht="210" customHeight="1">
      <x:c r="A11" s="3" t="str">
        <x:v>POST_010</x:v>
      </x:c>
      <x:c r="B11" s="3" t="str">
        <x:v>imported-examples</x:v>
      </x:c>
      <x:c r="C11" s="3" t="str">
        <x:v>historical</x:v>
      </x:c>
      <x:c r="D11" s="3" t="str">
        <x:v>DEVELOPMENT</x:v>
      </x:c>
      <x:c r="E11" s="3" t="str"/>
      <x:c r="F11" s="3" t="str">
        <x:v>LLM-as-Judge Done Right</x:v>
      </x:c>
      <x:c r="G11" s="3" t="str"/>
      <x:c r="H11" s="3" t="str"/>
      <x:c r="I11" s="3" t="str"/>
      <x:c r="J11" s="3" t="str">
        <x:v>NEEDS_CONTEXT</x:v>
      </x:c>
      <x:c r="K11" s="3" t="str">
        <x: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v>
      </x:c>
      <x:c r="L11" s="6" t="str"/>
      <x:c r="M11" s="6" t="str"/>
      <x:c r="N11" s="6" t="str"/>
      <x:c r="O11" s="6" t="str"/>
      <x:c r="P11" s="6" t="str"/>
      <x:c r="Q11" s="7" t="str"/>
      <x:c r="R11" s="7" t="str"/>
      <x:c r="S11" s="7" t="str"/>
      <x:c r="T11" s="7" t="str"/>
      <x:c r="U11" s="7" t="str"/>
      <x:c r="V11" s="7" t="str"/>
      <x:c r="W11" s="7" t="str"/>
      <x:c r="X11" s="7" t="str"/>
      <x:c r="Y11" s="7" t="str"/>
      <x:c r="Z11" s="7" t="str"/>
      <x:c r="AA11" s="7" t="str"/>
      <x:c r="AB11" s="7" t="str"/>
      <x:c r="AC11" s="7" t="str"/>
      <x:c r="AD11" s="7" t="str"/>
      <x:c r="AE11" s="3" t="str">
        <x:v>Historical instructor feedback under the prior policy; review again before assigning a v2 label.
Great content with clear steps that readers can follow to build reliable LLM-as-a-Judge pipelines; would add value to anyone implementing LLM-J. Tone is appropriate, post would have benefited from CTA.</x:v>
      </x:c>
      <x:c r="AF11" s="3" t="str"/>
      <x:c r="AG11" s="3" t="str">
        <x:v>Original shared workbook and repository workbook. Approved source facts were not supplied; current human and judge labels intentionally blank.</x:v>
      </x:c>
      <x:c r="AH11" s="3" t="str"/>
      <x:c r="AI11" s="3" t="str"/>
      <x:c r="AJ11" s="9" t="str">
        <x:f>IF(A11="","",A11&amp;"|"&amp;B11)</x:f>
        <x:v>POST_010|imported-examples</x:v>
      </x:c>
      <x:c r="AK11" s="9" t="str">
        <x:f>IF(A11="",IF(B11="","","MISSING_TEST_ID"),IF(B11="","MISSING_RUN_ID",IF(COUNTIFS($A$2:$A$501,A11,$B$2:$B$501,B11)&lt;&gt;1,"DUPLICATE_ID","OK")))</x:f>
        <x:v>OK</x:v>
      </x:c>
      <x:c r="AL11" s="9" t="str">
        <x:f>IF(A11="","",IF(AND(AK11="OK",J11="READY",F11&lt;&gt;"",G11&lt;&gt;"",K11&lt;&gt;"",OR(L11="PASS",L11="FAIL"),M11&lt;&gt;"",P11="social-publication-v2"),"YES","NO"))</x:f>
        <x:v>NO</x:v>
      </x:c>
      <x:c r="AM11" s="9" t="str">
        <x:f>IF(A11="","",IF(AND(AK11="OK",J11="READY",F11&lt;&gt;"",G11&lt;&gt;"",K11&lt;&gt;"",S11="OK",OR(R11="PASS",R11="FAIL")),"YES","NO"))</x:f>
        <x:v>NO</x:v>
      </x:c>
      <x:c r="AN11" s="9" t="str">
        <x:f>IF(A11="","",F11&amp;" | "&amp;G11&amp;" | "&amp;H11&amp;" | "&amp;I11)</x:f>
        <x:v>LLM-as-Judge Done Right |  |  | </x:v>
      </x:c>
    </x:row>
    <x:row r="12" ht="210" customHeight="1">
      <x:c r="A12" s="3" t="str">
        <x:v>POST_011</x:v>
      </x:c>
      <x:c r="B12" s="3" t="str">
        <x:v>imported-examples</x:v>
      </x:c>
      <x:c r="C12" s="3" t="str">
        <x:v>historical</x:v>
      </x:c>
      <x:c r="D12" s="3" t="str">
        <x:v>DEVELOPMENT</x:v>
      </x:c>
      <x:c r="E12" s="3" t="str"/>
      <x:c r="F12" s="3" t="str">
        <x:v>From 0 to Production Evals in One Week</x:v>
      </x:c>
      <x:c r="G12" s="3" t="str"/>
      <x:c r="H12" s="3" t="str"/>
      <x:c r="I12" s="3" t="str"/>
      <x:c r="J12" s="3" t="str">
        <x:v>NEEDS_CONTEXT</x:v>
      </x:c>
      <x:c r="K12" s="3" t="str">
        <x: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v>
      </x:c>
      <x:c r="L12" s="6" t="str"/>
      <x:c r="M12" s="6" t="str"/>
      <x:c r="N12" s="6" t="str"/>
      <x:c r="O12" s="6" t="str"/>
      <x:c r="P12" s="6" t="str"/>
      <x:c r="Q12" s="7" t="str"/>
      <x:c r="R12" s="7" t="str"/>
      <x:c r="S12" s="7" t="str"/>
      <x:c r="T12" s="7" t="str"/>
      <x:c r="U12" s="7" t="str"/>
      <x:c r="V12" s="7" t="str"/>
      <x:c r="W12" s="7" t="str"/>
      <x:c r="X12" s="7" t="str"/>
      <x:c r="Y12" s="7" t="str"/>
      <x:c r="Z12" s="7" t="str"/>
      <x:c r="AA12" s="7" t="str"/>
      <x:c r="AB12" s="7" t="str"/>
      <x:c r="AC12" s="7" t="str"/>
      <x:c r="AD12" s="7" t="str"/>
      <x:c r="AE12" s="3" t="str">
        <x:v>Historical instructor feedback under the prior policy; review again before assigning a v2 label.
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v>
      </x:c>
      <x:c r="AF12" s="3" t="str"/>
      <x:c r="AG12" s="3" t="str">
        <x:v>Original shared workbook and repository workbook. Approved source facts were not supplied; current human and judge labels intentionally blank.</x:v>
      </x:c>
      <x:c r="AH12" s="3" t="str"/>
      <x:c r="AI12" s="3" t="str"/>
      <x:c r="AJ12" s="9" t="str">
        <x:f>IF(A12="","",A12&amp;"|"&amp;B12)</x:f>
        <x:v>POST_011|imported-examples</x:v>
      </x:c>
      <x:c r="AK12" s="9" t="str">
        <x:f>IF(A12="",IF(B12="","","MISSING_TEST_ID"),IF(B12="","MISSING_RUN_ID",IF(COUNTIFS($A$2:$A$501,A12,$B$2:$B$501,B12)&lt;&gt;1,"DUPLICATE_ID","OK")))</x:f>
        <x:v>OK</x:v>
      </x:c>
      <x:c r="AL12" s="9" t="str">
        <x:f>IF(A12="","",IF(AND(AK12="OK",J12="READY",F12&lt;&gt;"",G12&lt;&gt;"",K12&lt;&gt;"",OR(L12="PASS",L12="FAIL"),M12&lt;&gt;"",P12="social-publication-v2"),"YES","NO"))</x:f>
        <x:v>NO</x:v>
      </x:c>
      <x:c r="AM12" s="9" t="str">
        <x:f>IF(A12="","",IF(AND(AK12="OK",J12="READY",F12&lt;&gt;"",G12&lt;&gt;"",K12&lt;&gt;"",S12="OK",OR(R12="PASS",R12="FAIL")),"YES","NO"))</x:f>
        <x:v>NO</x:v>
      </x:c>
      <x:c r="AN12" s="9" t="str">
        <x:f>IF(A12="","",F12&amp;" | "&amp;G12&amp;" | "&amp;H12&amp;" | "&amp;I12)</x:f>
        <x:v>From 0 to Production Evals in One Week |  |  | </x:v>
      </x:c>
    </x:row>
    <x:row r="13" ht="211.5" customHeight="1">
      <x:c r="A13" s="3" t="str">
        <x:v>POST_012</x:v>
      </x:c>
      <x:c r="B13" s="3" t="str">
        <x:v>imported-examples</x:v>
      </x:c>
      <x:c r="C13" s="3" t="str">
        <x:v>historical</x:v>
      </x:c>
      <x:c r="D13" s="3" t="str">
        <x:v>DEVELOPMENT</x:v>
      </x:c>
      <x:c r="E13" s="3" t="str"/>
      <x:c r="F13" s="3" t="str">
        <x:v>Here's What People Have to Say About Our AI Evals Workshop!</x:v>
      </x:c>
      <x:c r="G13" s="3" t="str"/>
      <x:c r="H13" s="3" t="str"/>
      <x:c r="I13" s="3" t="str"/>
      <x:c r="J13" s="3" t="str">
        <x:v>NEEDS_CONTEXT</x:v>
      </x:c>
      <x:c r="K13" s="3" t="str">
        <x: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v>
      </x:c>
      <x:c r="L13" s="6" t="str"/>
      <x:c r="M13" s="6" t="str"/>
      <x:c r="N13" s="6" t="str"/>
      <x:c r="O13" s="6" t="str"/>
      <x:c r="P13" s="6" t="str"/>
      <x:c r="Q13" s="7" t="str"/>
      <x:c r="R13" s="7" t="str"/>
      <x:c r="S13" s="7" t="str"/>
      <x:c r="T13" s="7" t="str"/>
      <x:c r="U13" s="7" t="str"/>
      <x:c r="V13" s="7" t="str"/>
      <x:c r="W13" s="7" t="str"/>
      <x:c r="X13" s="7" t="str"/>
      <x:c r="Y13" s="7" t="str"/>
      <x:c r="Z13" s="7" t="str"/>
      <x:c r="AA13" s="7" t="str"/>
      <x:c r="AB13" s="7" t="str"/>
      <x:c r="AC13" s="7" t="str"/>
      <x:c r="AD13" s="7" t="str"/>
      <x:c r="AE13" s="3" t="str">
        <x:v>Historical instructor feedback under the prior policy; review again before assigning a v2 label.
LLM made up testimonials, which is not desired. Tone is otherwise appropriate (would prefer no hashtags/emojis for this type of post) with a good CTA at the end.</x:v>
      </x:c>
      <x:c r="AF13" s="3" t="str"/>
      <x:c r="AG13" s="3" t="str">
        <x:v>Original shared workbook and repository workbook. Approved source facts were not supplied; current human and judge labels intentionally blank.</x:v>
      </x:c>
      <x:c r="AH13" s="3" t="str"/>
      <x:c r="AI13" s="3" t="str"/>
      <x:c r="AJ13" s="9" t="str">
        <x:f>IF(A13="","",A13&amp;"|"&amp;B13)</x:f>
        <x:v>POST_012|imported-examples</x:v>
      </x:c>
      <x:c r="AK13" s="9" t="str">
        <x:f>IF(A13="",IF(B13="","","MISSING_TEST_ID"),IF(B13="","MISSING_RUN_ID",IF(COUNTIFS($A$2:$A$501,A13,$B$2:$B$501,B13)&lt;&gt;1,"DUPLICATE_ID","OK")))</x:f>
        <x:v>OK</x:v>
      </x:c>
      <x:c r="AL13" s="9" t="str">
        <x:f>IF(A13="","",IF(AND(AK13="OK",J13="READY",F13&lt;&gt;"",G13&lt;&gt;"",K13&lt;&gt;"",OR(L13="PASS",L13="FAIL"),M13&lt;&gt;"",P13="social-publication-v2"),"YES","NO"))</x:f>
        <x:v>NO</x:v>
      </x:c>
      <x:c r="AM13" s="9" t="str">
        <x:f>IF(A13="","",IF(AND(AK13="OK",J13="READY",F13&lt;&gt;"",G13&lt;&gt;"",K13&lt;&gt;"",S13="OK",OR(R13="PASS",R13="FAIL")),"YES","NO"))</x:f>
        <x:v>NO</x:v>
      </x:c>
      <x:c r="AN13" s="9" t="str">
        <x:f>IF(A13="","",F13&amp;" | "&amp;G13&amp;" | "&amp;H13&amp;" | "&amp;I13)</x:f>
        <x:v>Here's What People Have to Say About Our AI Evals Workshop! |  |  | </x:v>
      </x:c>
    </x:row>
    <x:row r="14" ht="33" customHeight="1">
      <x:c r="A14" s="3"/>
      <x:c r="B14" s="3"/>
      <x:c r="C14" s="3"/>
      <x:c r="D14" s="3"/>
      <x:c r="E14" s="3"/>
      <x:c r="F14" s="3"/>
      <x:c r="G14" s="3"/>
      <x:c r="H14" s="3"/>
      <x:c r="I14" s="3"/>
      <x:c r="J14" s="3"/>
      <x:c r="K14" s="3"/>
      <x:c r="L14" s="6"/>
      <x:c r="M14" s="6"/>
      <x:c r="N14" s="6"/>
      <x:c r="O14" s="6"/>
      <x:c r="P14" s="6"/>
      <x:c r="Q14" s="7"/>
      <x:c r="R14" s="7"/>
      <x:c r="S14" s="7"/>
      <x:c r="T14" s="7"/>
      <x:c r="U14" s="7"/>
      <x:c r="V14" s="7"/>
      <x:c r="W14" s="7"/>
      <x:c r="X14" s="7"/>
      <x:c r="Y14" s="7"/>
      <x:c r="Z14" s="7"/>
      <x:c r="AA14" s="7"/>
      <x:c r="AB14" s="7"/>
      <x:c r="AC14" s="7"/>
      <x:c r="AD14" s="7"/>
      <x:c r="AE14" s="3"/>
      <x:c r="AF14" s="3"/>
      <x:c r="AG14" s="3"/>
      <x:c r="AH14" s="3"/>
      <x:c r="AI14" s="3"/>
      <x:c r="AJ14" s="9" t="str">
        <x:f>IF(A14="","",A14&amp;"|"&amp;B14)</x:f>
      </x:c>
      <x:c r="AK14" s="9" t="str">
        <x:f>IF(A14="",IF(B14="","","MISSING_TEST_ID"),IF(B14="","MISSING_RUN_ID",IF(COUNTIFS($A$2:$A$501,A14,$B$2:$B$501,B14)&lt;&gt;1,"DUPLICATE_ID","OK")))</x:f>
      </x:c>
      <x:c r="AL14" s="9" t="str">
        <x:f>IF(A14="","",IF(AND(AK14="OK",J14="READY",F14&lt;&gt;"",G14&lt;&gt;"",K14&lt;&gt;"",OR(L14="PASS",L14="FAIL"),M14&lt;&gt;"",P14="social-publication-v2"),"YES","NO"))</x:f>
      </x:c>
      <x:c r="AM14" s="9" t="str">
        <x:f>IF(A14="","",IF(AND(AK14="OK",J14="READY",F14&lt;&gt;"",G14&lt;&gt;"",K14&lt;&gt;"",S14="OK",OR(R14="PASS",R14="FAIL")),"YES","NO"))</x:f>
      </x:c>
      <x:c r="AN14" s="9" t="str">
        <x:f>IF(A14="","",F14&amp;" | "&amp;G14&amp;" | "&amp;H14&amp;" | "&amp;I14)</x:f>
      </x:c>
    </x:row>
    <x:row r="15" ht="33" customHeight="1">
      <x:c r="A15" s="3"/>
      <x:c r="B15" s="3"/>
      <x:c r="C15" s="3"/>
      <x:c r="D15" s="3"/>
      <x:c r="E15" s="3"/>
      <x:c r="F15" s="3"/>
      <x:c r="G15" s="3"/>
      <x:c r="H15" s="3"/>
      <x:c r="I15" s="3"/>
      <x:c r="J15" s="3"/>
      <x:c r="K15" s="3"/>
      <x:c r="L15" s="6"/>
      <x:c r="M15" s="6"/>
      <x:c r="N15" s="6"/>
      <x:c r="O15" s="6"/>
      <x:c r="P15" s="6"/>
      <x:c r="Q15" s="7"/>
      <x:c r="R15" s="7"/>
      <x:c r="S15" s="7"/>
      <x:c r="T15" s="7"/>
      <x:c r="U15" s="7"/>
      <x:c r="V15" s="7"/>
      <x:c r="W15" s="7"/>
      <x:c r="X15" s="7"/>
      <x:c r="Y15" s="7"/>
      <x:c r="Z15" s="7"/>
      <x:c r="AA15" s="7"/>
      <x:c r="AB15" s="7"/>
      <x:c r="AC15" s="7"/>
      <x:c r="AD15" s="7"/>
      <x:c r="AE15" s="3"/>
      <x:c r="AF15" s="3"/>
      <x:c r="AG15" s="3"/>
      <x:c r="AH15" s="3"/>
      <x:c r="AI15" s="3"/>
      <x:c r="AJ15" s="9" t="str">
        <x:f>IF(A15="","",A15&amp;"|"&amp;B15)</x:f>
      </x:c>
      <x:c r="AK15" s="9" t="str">
        <x:f>IF(A15="",IF(B15="","","MISSING_TEST_ID"),IF(B15="","MISSING_RUN_ID",IF(COUNTIFS($A$2:$A$501,A15,$B$2:$B$501,B15)&lt;&gt;1,"DUPLICATE_ID","OK")))</x:f>
      </x:c>
      <x:c r="AL15" s="9" t="str">
        <x:f>IF(A15="","",IF(AND(AK15="OK",J15="READY",F15&lt;&gt;"",G15&lt;&gt;"",K15&lt;&gt;"",OR(L15="PASS",L15="FAIL"),M15&lt;&gt;"",P15="social-publication-v2"),"YES","NO"))</x:f>
      </x:c>
      <x:c r="AM15" s="9" t="str">
        <x:f>IF(A15="","",IF(AND(AK15="OK",J15="READY",F15&lt;&gt;"",G15&lt;&gt;"",K15&lt;&gt;"",S15="OK",OR(R15="PASS",R15="FAIL")),"YES","NO"))</x:f>
      </x:c>
      <x:c r="AN15" s="9" t="str">
        <x:f>IF(A15="","",F15&amp;" | "&amp;G15&amp;" | "&amp;H15&amp;" | "&amp;I15)</x:f>
      </x:c>
    </x:row>
    <x:row r="16" ht="33" customHeight="1">
      <x:c r="A16" s="3"/>
      <x:c r="B16" s="3"/>
      <x:c r="C16" s="3"/>
      <x:c r="D16" s="3"/>
      <x:c r="E16" s="3"/>
      <x:c r="F16" s="3"/>
      <x:c r="G16" s="3"/>
      <x:c r="H16" s="3"/>
      <x:c r="I16" s="3"/>
      <x:c r="J16" s="3"/>
      <x:c r="K16" s="3"/>
      <x:c r="L16" s="6"/>
      <x:c r="M16" s="6"/>
      <x:c r="N16" s="6"/>
      <x:c r="O16" s="6"/>
      <x:c r="P16" s="6"/>
      <x:c r="Q16" s="7"/>
      <x:c r="R16" s="7"/>
      <x:c r="S16" s="7"/>
      <x:c r="T16" s="7"/>
      <x:c r="U16" s="7"/>
      <x:c r="V16" s="7"/>
      <x:c r="W16" s="7"/>
      <x:c r="X16" s="7"/>
      <x:c r="Y16" s="7"/>
      <x:c r="Z16" s="7"/>
      <x:c r="AA16" s="7"/>
      <x:c r="AB16" s="7"/>
      <x:c r="AC16" s="7"/>
      <x:c r="AD16" s="7"/>
      <x:c r="AE16" s="3"/>
      <x:c r="AF16" s="3"/>
      <x:c r="AG16" s="3"/>
      <x:c r="AH16" s="3"/>
      <x:c r="AI16" s="3"/>
      <x:c r="AJ16" s="9" t="str">
        <x:f>IF(A16="","",A16&amp;"|"&amp;B16)</x:f>
      </x:c>
      <x:c r="AK16" s="9" t="str">
        <x:f>IF(A16="",IF(B16="","","MISSING_TEST_ID"),IF(B16="","MISSING_RUN_ID",IF(COUNTIFS($A$2:$A$501,A16,$B$2:$B$501,B16)&lt;&gt;1,"DUPLICATE_ID","OK")))</x:f>
      </x:c>
      <x:c r="AL16" s="9" t="str">
        <x:f>IF(A16="","",IF(AND(AK16="OK",J16="READY",F16&lt;&gt;"",G16&lt;&gt;"",K16&lt;&gt;"",OR(L16="PASS",L16="FAIL"),M16&lt;&gt;"",P16="social-publication-v2"),"YES","NO"))</x:f>
      </x:c>
      <x:c r="AM16" s="9" t="str">
        <x:f>IF(A16="","",IF(AND(AK16="OK",J16="READY",F16&lt;&gt;"",G16&lt;&gt;"",K16&lt;&gt;"",S16="OK",OR(R16="PASS",R16="FAIL")),"YES","NO"))</x:f>
      </x:c>
      <x:c r="AN16" s="9" t="str">
        <x:f>IF(A16="","",F16&amp;" | "&amp;G16&amp;" | "&amp;H16&amp;" | "&amp;I16)</x:f>
      </x:c>
    </x:row>
    <x:row r="17" ht="33" customHeight="1">
      <x:c r="A17" s="3"/>
      <x:c r="B17" s="3"/>
      <x:c r="C17" s="3"/>
      <x:c r="D17" s="3"/>
      <x:c r="E17" s="3"/>
      <x:c r="F17" s="3"/>
      <x:c r="G17" s="3"/>
      <x:c r="H17" s="3"/>
      <x:c r="I17" s="3"/>
      <x:c r="J17" s="3"/>
      <x:c r="K17" s="3"/>
      <x:c r="L17" s="6"/>
      <x:c r="M17" s="6"/>
      <x:c r="N17" s="6"/>
      <x:c r="O17" s="6"/>
      <x:c r="P17" s="6"/>
      <x:c r="Q17" s="7"/>
      <x:c r="R17" s="7"/>
      <x:c r="S17" s="7"/>
      <x:c r="T17" s="7"/>
      <x:c r="U17" s="7"/>
      <x:c r="V17" s="7"/>
      <x:c r="W17" s="7"/>
      <x:c r="X17" s="7"/>
      <x:c r="Y17" s="7"/>
      <x:c r="Z17" s="7"/>
      <x:c r="AA17" s="7"/>
      <x:c r="AB17" s="7"/>
      <x:c r="AC17" s="7"/>
      <x:c r="AD17" s="7"/>
      <x:c r="AE17" s="3"/>
      <x:c r="AF17" s="3"/>
      <x:c r="AG17" s="3"/>
      <x:c r="AH17" s="3"/>
      <x:c r="AI17" s="3"/>
      <x:c r="AJ17" s="9" t="str">
        <x:f>IF(A17="","",A17&amp;"|"&amp;B17)</x:f>
      </x:c>
      <x:c r="AK17" s="9" t="str">
        <x:f>IF(A17="",IF(B17="","","MISSING_TEST_ID"),IF(B17="","MISSING_RUN_ID",IF(COUNTIFS($A$2:$A$501,A17,$B$2:$B$501,B17)&lt;&gt;1,"DUPLICATE_ID","OK")))</x:f>
      </x:c>
      <x:c r="AL17" s="9" t="str">
        <x:f>IF(A17="","",IF(AND(AK17="OK",J17="READY",F17&lt;&gt;"",G17&lt;&gt;"",K17&lt;&gt;"",OR(L17="PASS",L17="FAIL"),M17&lt;&gt;"",P17="social-publication-v2"),"YES","NO"))</x:f>
      </x:c>
      <x:c r="AM17" s="9" t="str">
        <x:f>IF(A17="","",IF(AND(AK17="OK",J17="READY",F17&lt;&gt;"",G17&lt;&gt;"",K17&lt;&gt;"",S17="OK",OR(R17="PASS",R17="FAIL")),"YES","NO"))</x:f>
      </x:c>
      <x:c r="AN17" s="9" t="str">
        <x:f>IF(A17="","",F17&amp;" | "&amp;G17&amp;" | "&amp;H17&amp;" | "&amp;I17)</x:f>
      </x:c>
    </x:row>
    <x:row r="18" ht="33" customHeight="1">
      <x:c r="A18" s="3"/>
      <x:c r="B18" s="3"/>
      <x:c r="C18" s="3"/>
      <x:c r="D18" s="3"/>
      <x:c r="E18" s="3"/>
      <x:c r="F18" s="3"/>
      <x:c r="G18" s="3"/>
      <x:c r="H18" s="3"/>
      <x:c r="I18" s="3"/>
      <x:c r="J18" s="3"/>
      <x:c r="K18" s="3"/>
      <x:c r="L18" s="6"/>
      <x:c r="M18" s="6"/>
      <x:c r="N18" s="6"/>
      <x:c r="O18" s="6"/>
      <x:c r="P18" s="6"/>
      <x:c r="Q18" s="7"/>
      <x:c r="R18" s="7"/>
      <x:c r="S18" s="7"/>
      <x:c r="T18" s="7"/>
      <x:c r="U18" s="7"/>
      <x:c r="V18" s="7"/>
      <x:c r="W18" s="7"/>
      <x:c r="X18" s="7"/>
      <x:c r="Y18" s="7"/>
      <x:c r="Z18" s="7"/>
      <x:c r="AA18" s="7"/>
      <x:c r="AB18" s="7"/>
      <x:c r="AC18" s="7"/>
      <x:c r="AD18" s="7"/>
      <x:c r="AE18" s="3"/>
      <x:c r="AF18" s="3"/>
      <x:c r="AG18" s="3"/>
      <x:c r="AH18" s="3"/>
      <x:c r="AI18" s="3"/>
      <x:c r="AJ18" s="9" t="str">
        <x:f>IF(A18="","",A18&amp;"|"&amp;B18)</x:f>
      </x:c>
      <x:c r="AK18" s="9" t="str">
        <x:f>IF(A18="",IF(B18="","","MISSING_TEST_ID"),IF(B18="","MISSING_RUN_ID",IF(COUNTIFS($A$2:$A$501,A18,$B$2:$B$501,B18)&lt;&gt;1,"DUPLICATE_ID","OK")))</x:f>
      </x:c>
      <x:c r="AL18" s="9" t="str">
        <x:f>IF(A18="","",IF(AND(AK18="OK",J18="READY",F18&lt;&gt;"",G18&lt;&gt;"",K18&lt;&gt;"",OR(L18="PASS",L18="FAIL"),M18&lt;&gt;"",P18="social-publication-v2"),"YES","NO"))</x:f>
      </x:c>
      <x:c r="AM18" s="9" t="str">
        <x:f>IF(A18="","",IF(AND(AK18="OK",J18="READY",F18&lt;&gt;"",G18&lt;&gt;"",K18&lt;&gt;"",S18="OK",OR(R18="PASS",R18="FAIL")),"YES","NO"))</x:f>
      </x:c>
      <x:c r="AN18" s="9" t="str">
        <x:f>IF(A18="","",F18&amp;" | "&amp;G18&amp;" | "&amp;H18&amp;" | "&amp;I18)</x:f>
      </x:c>
    </x:row>
    <x:row r="19" ht="33" customHeight="1">
      <x:c r="A19" s="3"/>
      <x:c r="B19" s="3"/>
      <x:c r="C19" s="3"/>
      <x:c r="D19" s="3"/>
      <x:c r="E19" s="3"/>
      <x:c r="F19" s="3"/>
      <x:c r="G19" s="3"/>
      <x:c r="H19" s="3"/>
      <x:c r="I19" s="3"/>
      <x:c r="J19" s="3"/>
      <x:c r="K19" s="3"/>
      <x:c r="L19" s="6"/>
      <x:c r="M19" s="6"/>
      <x:c r="N19" s="6"/>
      <x:c r="O19" s="6"/>
      <x:c r="P19" s="6"/>
      <x:c r="Q19" s="7"/>
      <x:c r="R19" s="7"/>
      <x:c r="S19" s="7"/>
      <x:c r="T19" s="7"/>
      <x:c r="U19" s="7"/>
      <x:c r="V19" s="7"/>
      <x:c r="W19" s="7"/>
      <x:c r="X19" s="7"/>
      <x:c r="Y19" s="7"/>
      <x:c r="Z19" s="7"/>
      <x:c r="AA19" s="7"/>
      <x:c r="AB19" s="7"/>
      <x:c r="AC19" s="7"/>
      <x:c r="AD19" s="7"/>
      <x:c r="AE19" s="3"/>
      <x:c r="AF19" s="3"/>
      <x:c r="AG19" s="3"/>
      <x:c r="AH19" s="3"/>
      <x:c r="AI19" s="3"/>
      <x:c r="AJ19" s="9" t="str">
        <x:f>IF(A19="","",A19&amp;"|"&amp;B19)</x:f>
      </x:c>
      <x:c r="AK19" s="9" t="str">
        <x:f>IF(A19="",IF(B19="","","MISSING_TEST_ID"),IF(B19="","MISSING_RUN_ID",IF(COUNTIFS($A$2:$A$501,A19,$B$2:$B$501,B19)&lt;&gt;1,"DUPLICATE_ID","OK")))</x:f>
      </x:c>
      <x:c r="AL19" s="9" t="str">
        <x:f>IF(A19="","",IF(AND(AK19="OK",J19="READY",F19&lt;&gt;"",G19&lt;&gt;"",K19&lt;&gt;"",OR(L19="PASS",L19="FAIL"),M19&lt;&gt;"",P19="social-publication-v2"),"YES","NO"))</x:f>
      </x:c>
      <x:c r="AM19" s="9" t="str">
        <x:f>IF(A19="","",IF(AND(AK19="OK",J19="READY",F19&lt;&gt;"",G19&lt;&gt;"",K19&lt;&gt;"",S19="OK",OR(R19="PASS",R19="FAIL")),"YES","NO"))</x:f>
      </x:c>
      <x:c r="AN19" s="9" t="str">
        <x:f>IF(A19="","",F19&amp;" | "&amp;G19&amp;" | "&amp;H19&amp;" | "&amp;I19)</x:f>
      </x:c>
    </x:row>
    <x:row r="20" ht="33" customHeight="1">
      <x:c r="A20" s="3"/>
      <x:c r="B20" s="3"/>
      <x:c r="C20" s="3"/>
      <x:c r="D20" s="3"/>
      <x:c r="E20" s="3"/>
      <x:c r="F20" s="3"/>
      <x:c r="G20" s="3"/>
      <x:c r="H20" s="3"/>
      <x:c r="I20" s="3"/>
      <x:c r="J20" s="3"/>
      <x:c r="K20" s="3"/>
      <x:c r="L20" s="6"/>
      <x:c r="M20" s="6"/>
      <x:c r="N20" s="6"/>
      <x:c r="O20" s="6"/>
      <x:c r="P20" s="6"/>
      <x:c r="Q20" s="7"/>
      <x:c r="R20" s="7"/>
      <x:c r="S20" s="7"/>
      <x:c r="T20" s="7"/>
      <x:c r="U20" s="7"/>
      <x:c r="V20" s="7"/>
      <x:c r="W20" s="7"/>
      <x:c r="X20" s="7"/>
      <x:c r="Y20" s="7"/>
      <x:c r="Z20" s="7"/>
      <x:c r="AA20" s="7"/>
      <x:c r="AB20" s="7"/>
      <x:c r="AC20" s="7"/>
      <x:c r="AD20" s="7"/>
      <x:c r="AE20" s="3"/>
      <x:c r="AF20" s="3"/>
      <x:c r="AG20" s="3"/>
      <x:c r="AH20" s="3"/>
      <x:c r="AI20" s="3"/>
      <x:c r="AJ20" s="9" t="str">
        <x:f>IF(A20="","",A20&amp;"|"&amp;B20)</x:f>
      </x:c>
      <x:c r="AK20" s="9" t="str">
        <x:f>IF(A20="",IF(B20="","","MISSING_TEST_ID"),IF(B20="","MISSING_RUN_ID",IF(COUNTIFS($A$2:$A$501,A20,$B$2:$B$501,B20)&lt;&gt;1,"DUPLICATE_ID","OK")))</x:f>
      </x:c>
      <x:c r="AL20" s="9" t="str">
        <x:f>IF(A20="","",IF(AND(AK20="OK",J20="READY",F20&lt;&gt;"",G20&lt;&gt;"",K20&lt;&gt;"",OR(L20="PASS",L20="FAIL"),M20&lt;&gt;"",P20="social-publication-v2"),"YES","NO"))</x:f>
      </x:c>
      <x:c r="AM20" s="9" t="str">
        <x:f>IF(A20="","",IF(AND(AK20="OK",J20="READY",F20&lt;&gt;"",G20&lt;&gt;"",K20&lt;&gt;"",S20="OK",OR(R20="PASS",R20="FAIL")),"YES","NO"))</x:f>
      </x:c>
      <x:c r="AN20" s="9" t="str">
        <x:f>IF(A20="","",F20&amp;" | "&amp;G20&amp;" | "&amp;H20&amp;" | "&amp;I20)</x:f>
      </x:c>
    </x:row>
    <x:row r="21" ht="33" customHeight="1">
      <x:c r="A21" s="3"/>
      <x:c r="B21" s="3"/>
      <x:c r="C21" s="3"/>
      <x:c r="D21" s="3"/>
      <x:c r="E21" s="3"/>
      <x:c r="F21" s="3"/>
      <x:c r="G21" s="3"/>
      <x:c r="H21" s="3"/>
      <x:c r="I21" s="3"/>
      <x:c r="J21" s="3"/>
      <x:c r="K21" s="3"/>
      <x:c r="L21" s="6"/>
      <x:c r="M21" s="6"/>
      <x:c r="N21" s="6"/>
      <x:c r="O21" s="6"/>
      <x:c r="P21" s="6"/>
      <x:c r="Q21" s="7"/>
      <x:c r="R21" s="7"/>
      <x:c r="S21" s="7"/>
      <x:c r="T21" s="7"/>
      <x:c r="U21" s="7"/>
      <x:c r="V21" s="7"/>
      <x:c r="W21" s="7"/>
      <x:c r="X21" s="7"/>
      <x:c r="Y21" s="7"/>
      <x:c r="Z21" s="7"/>
      <x:c r="AA21" s="7"/>
      <x:c r="AB21" s="7"/>
      <x:c r="AC21" s="7"/>
      <x:c r="AD21" s="7"/>
      <x:c r="AE21" s="3"/>
      <x:c r="AF21" s="3"/>
      <x:c r="AG21" s="3"/>
      <x:c r="AH21" s="3"/>
      <x:c r="AI21" s="3"/>
      <x:c r="AJ21" s="9" t="str">
        <x:f>IF(A21="","",A21&amp;"|"&amp;B21)</x:f>
      </x:c>
      <x:c r="AK21" s="9" t="str">
        <x:f>IF(A21="",IF(B21="","","MISSING_TEST_ID"),IF(B21="","MISSING_RUN_ID",IF(COUNTIFS($A$2:$A$501,A21,$B$2:$B$501,B21)&lt;&gt;1,"DUPLICATE_ID","OK")))</x:f>
      </x:c>
      <x:c r="AL21" s="9" t="str">
        <x:f>IF(A21="","",IF(AND(AK21="OK",J21="READY",F21&lt;&gt;"",G21&lt;&gt;"",K21&lt;&gt;"",OR(L21="PASS",L21="FAIL"),M21&lt;&gt;"",P21="social-publication-v2"),"YES","NO"))</x:f>
      </x:c>
      <x:c r="AM21" s="9" t="str">
        <x:f>IF(A21="","",IF(AND(AK21="OK",J21="READY",F21&lt;&gt;"",G21&lt;&gt;"",K21&lt;&gt;"",S21="OK",OR(R21="PASS",R21="FAIL")),"YES","NO"))</x:f>
      </x:c>
      <x:c r="AN21" s="9" t="str">
        <x:f>IF(A21="","",F21&amp;" | "&amp;G21&amp;" | "&amp;H21&amp;" | "&amp;I21)</x:f>
      </x:c>
    </x:row>
    <x:row r="22" ht="33" customHeight="1">
      <x:c r="A22" s="3"/>
      <x:c r="B22" s="3"/>
      <x:c r="C22" s="3"/>
      <x:c r="D22" s="3"/>
      <x:c r="E22" s="3"/>
      <x:c r="F22" s="3"/>
      <x:c r="G22" s="3"/>
      <x:c r="H22" s="3"/>
      <x:c r="I22" s="3"/>
      <x:c r="J22" s="3"/>
      <x:c r="K22" s="3"/>
      <x:c r="L22" s="6"/>
      <x:c r="M22" s="6"/>
      <x:c r="N22" s="6"/>
      <x:c r="O22" s="6"/>
      <x:c r="P22" s="6"/>
      <x:c r="Q22" s="7"/>
      <x:c r="R22" s="7"/>
      <x:c r="S22" s="7"/>
      <x:c r="T22" s="7"/>
      <x:c r="U22" s="7"/>
      <x:c r="V22" s="7"/>
      <x:c r="W22" s="7"/>
      <x:c r="X22" s="7"/>
      <x:c r="Y22" s="7"/>
      <x:c r="Z22" s="7"/>
      <x:c r="AA22" s="7"/>
      <x:c r="AB22" s="7"/>
      <x:c r="AC22" s="7"/>
      <x:c r="AD22" s="7"/>
      <x:c r="AE22" s="3"/>
      <x:c r="AF22" s="3"/>
      <x:c r="AG22" s="3"/>
      <x:c r="AH22" s="3"/>
      <x:c r="AI22" s="3"/>
      <x:c r="AJ22" s="9" t="str">
        <x:f>IF(A22="","",A22&amp;"|"&amp;B22)</x:f>
      </x:c>
      <x:c r="AK22" s="9" t="str">
        <x:f>IF(A22="",IF(B22="","","MISSING_TEST_ID"),IF(B22="","MISSING_RUN_ID",IF(COUNTIFS($A$2:$A$501,A22,$B$2:$B$501,B22)&lt;&gt;1,"DUPLICATE_ID","OK")))</x:f>
      </x:c>
      <x:c r="AL22" s="9" t="str">
        <x:f>IF(A22="","",IF(AND(AK22="OK",J22="READY",F22&lt;&gt;"",G22&lt;&gt;"",K22&lt;&gt;"",OR(L22="PASS",L22="FAIL"),M22&lt;&gt;"",P22="social-publication-v2"),"YES","NO"))</x:f>
      </x:c>
      <x:c r="AM22" s="9" t="str">
        <x:f>IF(A22="","",IF(AND(AK22="OK",J22="READY",F22&lt;&gt;"",G22&lt;&gt;"",K22&lt;&gt;"",S22="OK",OR(R22="PASS",R22="FAIL")),"YES","NO"))</x:f>
      </x:c>
      <x:c r="AN22" s="9" t="str">
        <x:f>IF(A22="","",F22&amp;" | "&amp;G22&amp;" | "&amp;H22&amp;" | "&amp;I22)</x:f>
      </x:c>
    </x:row>
    <x:row r="23" ht="33" customHeight="1">
      <x:c r="A23" s="3"/>
      <x:c r="B23" s="3"/>
      <x:c r="C23" s="3"/>
      <x:c r="D23" s="3"/>
      <x:c r="E23" s="3"/>
      <x:c r="F23" s="3"/>
      <x:c r="G23" s="3"/>
      <x:c r="H23" s="3"/>
      <x:c r="I23" s="3"/>
      <x:c r="J23" s="3"/>
      <x:c r="K23" s="3"/>
      <x:c r="L23" s="6"/>
      <x:c r="M23" s="6"/>
      <x:c r="N23" s="6"/>
      <x:c r="O23" s="6"/>
      <x:c r="P23" s="6"/>
      <x:c r="Q23" s="7"/>
      <x:c r="R23" s="7"/>
      <x:c r="S23" s="7"/>
      <x:c r="T23" s="7"/>
      <x:c r="U23" s="7"/>
      <x:c r="V23" s="7"/>
      <x:c r="W23" s="7"/>
      <x:c r="X23" s="7"/>
      <x:c r="Y23" s="7"/>
      <x:c r="Z23" s="7"/>
      <x:c r="AA23" s="7"/>
      <x:c r="AB23" s="7"/>
      <x:c r="AC23" s="7"/>
      <x:c r="AD23" s="7"/>
      <x:c r="AE23" s="3"/>
      <x:c r="AF23" s="3"/>
      <x:c r="AG23" s="3"/>
      <x:c r="AH23" s="3"/>
      <x:c r="AI23" s="3"/>
      <x:c r="AJ23" s="9" t="str">
        <x:f>IF(A23="","",A23&amp;"|"&amp;B23)</x:f>
      </x:c>
      <x:c r="AK23" s="9" t="str">
        <x:f>IF(A23="",IF(B23="","","MISSING_TEST_ID"),IF(B23="","MISSING_RUN_ID",IF(COUNTIFS($A$2:$A$501,A23,$B$2:$B$501,B23)&lt;&gt;1,"DUPLICATE_ID","OK")))</x:f>
      </x:c>
      <x:c r="AL23" s="9" t="str">
        <x:f>IF(A23="","",IF(AND(AK23="OK",J23="READY",F23&lt;&gt;"",G23&lt;&gt;"",K23&lt;&gt;"",OR(L23="PASS",L23="FAIL"),M23&lt;&gt;"",P23="social-publication-v2"),"YES","NO"))</x:f>
      </x:c>
      <x:c r="AM23" s="9" t="str">
        <x:f>IF(A23="","",IF(AND(AK23="OK",J23="READY",F23&lt;&gt;"",G23&lt;&gt;"",K23&lt;&gt;"",S23="OK",OR(R23="PASS",R23="FAIL")),"YES","NO"))</x:f>
      </x:c>
      <x:c r="AN23" s="9" t="str">
        <x:f>IF(A23="","",F23&amp;" | "&amp;G23&amp;" | "&amp;H23&amp;" | "&amp;I23)</x:f>
      </x:c>
    </x:row>
    <x:row r="24" ht="33" customHeight="1">
      <x:c r="A24" s="3"/>
      <x:c r="B24" s="3"/>
      <x:c r="C24" s="3"/>
      <x:c r="D24" s="3"/>
      <x:c r="E24" s="3"/>
      <x:c r="F24" s="3"/>
      <x:c r="G24" s="3"/>
      <x:c r="H24" s="3"/>
      <x:c r="I24" s="3"/>
      <x:c r="J24" s="3"/>
      <x:c r="K24" s="3"/>
      <x:c r="L24" s="6"/>
      <x:c r="M24" s="6"/>
      <x:c r="N24" s="6"/>
      <x:c r="O24" s="6"/>
      <x:c r="P24" s="6"/>
      <x:c r="Q24" s="7"/>
      <x:c r="R24" s="7"/>
      <x:c r="S24" s="7"/>
      <x:c r="T24" s="7"/>
      <x:c r="U24" s="7"/>
      <x:c r="V24" s="7"/>
      <x:c r="W24" s="7"/>
      <x:c r="X24" s="7"/>
      <x:c r="Y24" s="7"/>
      <x:c r="Z24" s="7"/>
      <x:c r="AA24" s="7"/>
      <x:c r="AB24" s="7"/>
      <x:c r="AC24" s="7"/>
      <x:c r="AD24" s="7"/>
      <x:c r="AE24" s="3"/>
      <x:c r="AF24" s="3"/>
      <x:c r="AG24" s="3"/>
      <x:c r="AH24" s="3"/>
      <x:c r="AI24" s="3"/>
      <x:c r="AJ24" s="9" t="str">
        <x:f>IF(A24="","",A24&amp;"|"&amp;B24)</x:f>
      </x:c>
      <x:c r="AK24" s="9" t="str">
        <x:f>IF(A24="",IF(B24="","","MISSING_TEST_ID"),IF(B24="","MISSING_RUN_ID",IF(COUNTIFS($A$2:$A$501,A24,$B$2:$B$501,B24)&lt;&gt;1,"DUPLICATE_ID","OK")))</x:f>
      </x:c>
      <x:c r="AL24" s="9" t="str">
        <x:f>IF(A24="","",IF(AND(AK24="OK",J24="READY",F24&lt;&gt;"",G24&lt;&gt;"",K24&lt;&gt;"",OR(L24="PASS",L24="FAIL"),M24&lt;&gt;"",P24="social-publication-v2"),"YES","NO"))</x:f>
      </x:c>
      <x:c r="AM24" s="9" t="str">
        <x:f>IF(A24="","",IF(AND(AK24="OK",J24="READY",F24&lt;&gt;"",G24&lt;&gt;"",K24&lt;&gt;"",S24="OK",OR(R24="PASS",R24="FAIL")),"YES","NO"))</x:f>
      </x:c>
      <x:c r="AN24" s="9" t="str">
        <x:f>IF(A24="","",F24&amp;" | "&amp;G24&amp;" | "&amp;H24&amp;" | "&amp;I24)</x:f>
      </x:c>
    </x:row>
    <x:row r="25" ht="33" customHeight="1">
      <x:c r="A25" s="3"/>
      <x:c r="B25" s="3"/>
      <x:c r="C25" s="3"/>
      <x:c r="D25" s="3"/>
      <x:c r="E25" s="3"/>
      <x:c r="F25" s="3"/>
      <x:c r="G25" s="3"/>
      <x:c r="H25" s="3"/>
      <x:c r="I25" s="3"/>
      <x:c r="J25" s="3"/>
      <x:c r="K25" s="3"/>
      <x:c r="L25" s="6"/>
      <x:c r="M25" s="6"/>
      <x:c r="N25" s="6"/>
      <x:c r="O25" s="6"/>
      <x:c r="P25" s="6"/>
      <x:c r="Q25" s="7"/>
      <x:c r="R25" s="7"/>
      <x:c r="S25" s="7"/>
      <x:c r="T25" s="7"/>
      <x:c r="U25" s="7"/>
      <x:c r="V25" s="7"/>
      <x:c r="W25" s="7"/>
      <x:c r="X25" s="7"/>
      <x:c r="Y25" s="7"/>
      <x:c r="Z25" s="7"/>
      <x:c r="AA25" s="7"/>
      <x:c r="AB25" s="7"/>
      <x:c r="AC25" s="7"/>
      <x:c r="AD25" s="7"/>
      <x:c r="AE25" s="3"/>
      <x:c r="AF25" s="3"/>
      <x:c r="AG25" s="3"/>
      <x:c r="AH25" s="3"/>
      <x:c r="AI25" s="3"/>
      <x:c r="AJ25" s="9" t="str">
        <x:f>IF(A25="","",A25&amp;"|"&amp;B25)</x:f>
      </x:c>
      <x:c r="AK25" s="9" t="str">
        <x:f>IF(A25="",IF(B25="","","MISSING_TEST_ID"),IF(B25="","MISSING_RUN_ID",IF(COUNTIFS($A$2:$A$501,A25,$B$2:$B$501,B25)&lt;&gt;1,"DUPLICATE_ID","OK")))</x:f>
      </x:c>
      <x:c r="AL25" s="9" t="str">
        <x:f>IF(A25="","",IF(AND(AK25="OK",J25="READY",F25&lt;&gt;"",G25&lt;&gt;"",K25&lt;&gt;"",OR(L25="PASS",L25="FAIL"),M25&lt;&gt;"",P25="social-publication-v2"),"YES","NO"))</x:f>
      </x:c>
      <x:c r="AM25" s="9" t="str">
        <x:f>IF(A25="","",IF(AND(AK25="OK",J25="READY",F25&lt;&gt;"",G25&lt;&gt;"",K25&lt;&gt;"",S25="OK",OR(R25="PASS",R25="FAIL")),"YES","NO"))</x:f>
      </x:c>
      <x:c r="AN25" s="9" t="str">
        <x:f>IF(A25="","",F25&amp;" | "&amp;G25&amp;" | "&amp;H25&amp;" | "&amp;I25)</x:f>
      </x:c>
    </x:row>
    <x:row r="26" ht="33" customHeight="1">
      <x:c r="A26" s="3"/>
      <x:c r="B26" s="3"/>
      <x:c r="C26" s="3"/>
      <x:c r="D26" s="3"/>
      <x:c r="E26" s="3"/>
      <x:c r="F26" s="3"/>
      <x:c r="G26" s="3"/>
      <x:c r="H26" s="3"/>
      <x:c r="I26" s="3"/>
      <x:c r="J26" s="3"/>
      <x:c r="K26" s="3"/>
      <x:c r="L26" s="6"/>
      <x:c r="M26" s="6"/>
      <x:c r="N26" s="6"/>
      <x:c r="O26" s="6"/>
      <x:c r="P26" s="6"/>
      <x:c r="Q26" s="7"/>
      <x:c r="R26" s="7"/>
      <x:c r="S26" s="7"/>
      <x:c r="T26" s="7"/>
      <x:c r="U26" s="7"/>
      <x:c r="V26" s="7"/>
      <x:c r="W26" s="7"/>
      <x:c r="X26" s="7"/>
      <x:c r="Y26" s="7"/>
      <x:c r="Z26" s="7"/>
      <x:c r="AA26" s="7"/>
      <x:c r="AB26" s="7"/>
      <x:c r="AC26" s="7"/>
      <x:c r="AD26" s="7"/>
      <x:c r="AE26" s="3"/>
      <x:c r="AF26" s="3"/>
      <x:c r="AG26" s="3"/>
      <x:c r="AH26" s="3"/>
      <x:c r="AI26" s="3"/>
      <x:c r="AJ26" s="9" t="str">
        <x:f>IF(A26="","",A26&amp;"|"&amp;B26)</x:f>
      </x:c>
      <x:c r="AK26" s="9" t="str">
        <x:f>IF(A26="",IF(B26="","","MISSING_TEST_ID"),IF(B26="","MISSING_RUN_ID",IF(COUNTIFS($A$2:$A$501,A26,$B$2:$B$501,B26)&lt;&gt;1,"DUPLICATE_ID","OK")))</x:f>
      </x:c>
      <x:c r="AL26" s="9" t="str">
        <x:f>IF(A26="","",IF(AND(AK26="OK",J26="READY",F26&lt;&gt;"",G26&lt;&gt;"",K26&lt;&gt;"",OR(L26="PASS",L26="FAIL"),M26&lt;&gt;"",P26="social-publication-v2"),"YES","NO"))</x:f>
      </x:c>
      <x:c r="AM26" s="9" t="str">
        <x:f>IF(A26="","",IF(AND(AK26="OK",J26="READY",F26&lt;&gt;"",G26&lt;&gt;"",K26&lt;&gt;"",S26="OK",OR(R26="PASS",R26="FAIL")),"YES","NO"))</x:f>
      </x:c>
      <x:c r="AN26" s="9" t="str">
        <x:f>IF(A26="","",F26&amp;" | "&amp;G26&amp;" | "&amp;H26&amp;" | "&amp;I26)</x:f>
      </x:c>
    </x:row>
    <x:row r="27" ht="33" customHeight="1">
      <x:c r="A27" s="3"/>
      <x:c r="B27" s="3"/>
      <x:c r="C27" s="3"/>
      <x:c r="D27" s="3"/>
      <x:c r="E27" s="3"/>
      <x:c r="F27" s="3"/>
      <x:c r="G27" s="3"/>
      <x:c r="H27" s="3"/>
      <x:c r="I27" s="3"/>
      <x:c r="J27" s="3"/>
      <x:c r="K27" s="3"/>
      <x:c r="L27" s="6"/>
      <x:c r="M27" s="6"/>
      <x:c r="N27" s="6"/>
      <x:c r="O27" s="6"/>
      <x:c r="P27" s="6"/>
      <x:c r="Q27" s="7"/>
      <x:c r="R27" s="7"/>
      <x:c r="S27" s="7"/>
      <x:c r="T27" s="7"/>
      <x:c r="U27" s="7"/>
      <x:c r="V27" s="7"/>
      <x:c r="W27" s="7"/>
      <x:c r="X27" s="7"/>
      <x:c r="Y27" s="7"/>
      <x:c r="Z27" s="7"/>
      <x:c r="AA27" s="7"/>
      <x:c r="AB27" s="7"/>
      <x:c r="AC27" s="7"/>
      <x:c r="AD27" s="7"/>
      <x:c r="AE27" s="3"/>
      <x:c r="AF27" s="3"/>
      <x:c r="AG27" s="3"/>
      <x:c r="AH27" s="3"/>
      <x:c r="AI27" s="3"/>
      <x:c r="AJ27" s="9" t="str">
        <x:f>IF(A27="","",A27&amp;"|"&amp;B27)</x:f>
      </x:c>
      <x:c r="AK27" s="9" t="str">
        <x:f>IF(A27="",IF(B27="","","MISSING_TEST_ID"),IF(B27="","MISSING_RUN_ID",IF(COUNTIFS($A$2:$A$501,A27,$B$2:$B$501,B27)&lt;&gt;1,"DUPLICATE_ID","OK")))</x:f>
      </x:c>
      <x:c r="AL27" s="9" t="str">
        <x:f>IF(A27="","",IF(AND(AK27="OK",J27="READY",F27&lt;&gt;"",G27&lt;&gt;"",K27&lt;&gt;"",OR(L27="PASS",L27="FAIL"),M27&lt;&gt;"",P27="social-publication-v2"),"YES","NO"))</x:f>
      </x:c>
      <x:c r="AM27" s="9" t="str">
        <x:f>IF(A27="","",IF(AND(AK27="OK",J27="READY",F27&lt;&gt;"",G27&lt;&gt;"",K27&lt;&gt;"",S27="OK",OR(R27="PASS",R27="FAIL")),"YES","NO"))</x:f>
      </x:c>
      <x:c r="AN27" s="9" t="str">
        <x:f>IF(A27="","",F27&amp;" | "&amp;G27&amp;" | "&amp;H27&amp;" | "&amp;I27)</x:f>
      </x:c>
    </x:row>
    <x:row r="28" ht="33" customHeight="1">
      <x:c r="A28" s="3"/>
      <x:c r="B28" s="3"/>
      <x:c r="C28" s="3"/>
      <x:c r="D28" s="3"/>
      <x:c r="E28" s="3"/>
      <x:c r="F28" s="3"/>
      <x:c r="G28" s="3"/>
      <x:c r="H28" s="3"/>
      <x:c r="I28" s="3"/>
      <x:c r="J28" s="3"/>
      <x:c r="K28" s="3"/>
      <x:c r="L28" s="6"/>
      <x:c r="M28" s="6"/>
      <x:c r="N28" s="6"/>
      <x:c r="O28" s="6"/>
      <x:c r="P28" s="6"/>
      <x:c r="Q28" s="7"/>
      <x:c r="R28" s="7"/>
      <x:c r="S28" s="7"/>
      <x:c r="T28" s="7"/>
      <x:c r="U28" s="7"/>
      <x:c r="V28" s="7"/>
      <x:c r="W28" s="7"/>
      <x:c r="X28" s="7"/>
      <x:c r="Y28" s="7"/>
      <x:c r="Z28" s="7"/>
      <x:c r="AA28" s="7"/>
      <x:c r="AB28" s="7"/>
      <x:c r="AC28" s="7"/>
      <x:c r="AD28" s="7"/>
      <x:c r="AE28" s="3"/>
      <x:c r="AF28" s="3"/>
      <x:c r="AG28" s="3"/>
      <x:c r="AH28" s="3"/>
      <x:c r="AI28" s="3"/>
      <x:c r="AJ28" s="9" t="str">
        <x:f>IF(A28="","",A28&amp;"|"&amp;B28)</x:f>
      </x:c>
      <x:c r="AK28" s="9" t="str">
        <x:f>IF(A28="",IF(B28="","","MISSING_TEST_ID"),IF(B28="","MISSING_RUN_ID",IF(COUNTIFS($A$2:$A$501,A28,$B$2:$B$501,B28)&lt;&gt;1,"DUPLICATE_ID","OK")))</x:f>
      </x:c>
      <x:c r="AL28" s="9" t="str">
        <x:f>IF(A28="","",IF(AND(AK28="OK",J28="READY",F28&lt;&gt;"",G28&lt;&gt;"",K28&lt;&gt;"",OR(L28="PASS",L28="FAIL"),M28&lt;&gt;"",P28="social-publication-v2"),"YES","NO"))</x:f>
      </x:c>
      <x:c r="AM28" s="9" t="str">
        <x:f>IF(A28="","",IF(AND(AK28="OK",J28="READY",F28&lt;&gt;"",G28&lt;&gt;"",K28&lt;&gt;"",S28="OK",OR(R28="PASS",R28="FAIL")),"YES","NO"))</x:f>
      </x:c>
      <x:c r="AN28" s="9" t="str">
        <x:f>IF(A28="","",F28&amp;" | "&amp;G28&amp;" | "&amp;H28&amp;" | "&amp;I28)</x:f>
      </x:c>
    </x:row>
    <x:row r="29" ht="33" customHeight="1">
      <x:c r="A29" s="3"/>
      <x:c r="B29" s="3"/>
      <x:c r="C29" s="3"/>
      <x:c r="D29" s="3"/>
      <x:c r="E29" s="3"/>
      <x:c r="F29" s="3"/>
      <x:c r="G29" s="3"/>
      <x:c r="H29" s="3"/>
      <x:c r="I29" s="3"/>
      <x:c r="J29" s="3"/>
      <x:c r="K29" s="3"/>
      <x:c r="L29" s="6"/>
      <x:c r="M29" s="6"/>
      <x:c r="N29" s="6"/>
      <x:c r="O29" s="6"/>
      <x:c r="P29" s="6"/>
      <x:c r="Q29" s="7"/>
      <x:c r="R29" s="7"/>
      <x:c r="S29" s="7"/>
      <x:c r="T29" s="7"/>
      <x:c r="U29" s="7"/>
      <x:c r="V29" s="7"/>
      <x:c r="W29" s="7"/>
      <x:c r="X29" s="7"/>
      <x:c r="Y29" s="7"/>
      <x:c r="Z29" s="7"/>
      <x:c r="AA29" s="7"/>
      <x:c r="AB29" s="7"/>
      <x:c r="AC29" s="7"/>
      <x:c r="AD29" s="7"/>
      <x:c r="AE29" s="3"/>
      <x:c r="AF29" s="3"/>
      <x:c r="AG29" s="3"/>
      <x:c r="AH29" s="3"/>
      <x:c r="AI29" s="3"/>
      <x:c r="AJ29" s="9" t="str">
        <x:f>IF(A29="","",A29&amp;"|"&amp;B29)</x:f>
      </x:c>
      <x:c r="AK29" s="9" t="str">
        <x:f>IF(A29="",IF(B29="","","MISSING_TEST_ID"),IF(B29="","MISSING_RUN_ID",IF(COUNTIFS($A$2:$A$501,A29,$B$2:$B$501,B29)&lt;&gt;1,"DUPLICATE_ID","OK")))</x:f>
      </x:c>
      <x:c r="AL29" s="9" t="str">
        <x:f>IF(A29="","",IF(AND(AK29="OK",J29="READY",F29&lt;&gt;"",G29&lt;&gt;"",K29&lt;&gt;"",OR(L29="PASS",L29="FAIL"),M29&lt;&gt;"",P29="social-publication-v2"),"YES","NO"))</x:f>
      </x:c>
      <x:c r="AM29" s="9" t="str">
        <x:f>IF(A29="","",IF(AND(AK29="OK",J29="READY",F29&lt;&gt;"",G29&lt;&gt;"",K29&lt;&gt;"",S29="OK",OR(R29="PASS",R29="FAIL")),"YES","NO"))</x:f>
      </x:c>
      <x:c r="AN29" s="9" t="str">
        <x:f>IF(A29="","",F29&amp;" | "&amp;G29&amp;" | "&amp;H29&amp;" | "&amp;I29)</x:f>
      </x:c>
    </x:row>
    <x:row r="30" ht="33" customHeight="1">
      <x:c r="A30" s="3"/>
      <x:c r="B30" s="3"/>
      <x:c r="C30" s="3"/>
      <x:c r="D30" s="3"/>
      <x:c r="E30" s="3"/>
      <x:c r="F30" s="3"/>
      <x:c r="G30" s="3"/>
      <x:c r="H30" s="3"/>
      <x:c r="I30" s="3"/>
      <x:c r="J30" s="3"/>
      <x:c r="K30" s="3"/>
      <x:c r="L30" s="6"/>
      <x:c r="M30" s="6"/>
      <x:c r="N30" s="6"/>
      <x:c r="O30" s="6"/>
      <x:c r="P30" s="6"/>
      <x:c r="Q30" s="7"/>
      <x:c r="R30" s="7"/>
      <x:c r="S30" s="7"/>
      <x:c r="T30" s="7"/>
      <x:c r="U30" s="7"/>
      <x:c r="V30" s="7"/>
      <x:c r="W30" s="7"/>
      <x:c r="X30" s="7"/>
      <x:c r="Y30" s="7"/>
      <x:c r="Z30" s="7"/>
      <x:c r="AA30" s="7"/>
      <x:c r="AB30" s="7"/>
      <x:c r="AC30" s="7"/>
      <x:c r="AD30" s="7"/>
      <x:c r="AE30" s="3"/>
      <x:c r="AF30" s="3"/>
      <x:c r="AG30" s="3"/>
      <x:c r="AH30" s="3"/>
      <x:c r="AI30" s="3"/>
      <x:c r="AJ30" s="9" t="str">
        <x:f>IF(A30="","",A30&amp;"|"&amp;B30)</x:f>
      </x:c>
      <x:c r="AK30" s="9" t="str">
        <x:f>IF(A30="",IF(B30="","","MISSING_TEST_ID"),IF(B30="","MISSING_RUN_ID",IF(COUNTIFS($A$2:$A$501,A30,$B$2:$B$501,B30)&lt;&gt;1,"DUPLICATE_ID","OK")))</x:f>
      </x:c>
      <x:c r="AL30" s="9" t="str">
        <x:f>IF(A30="","",IF(AND(AK30="OK",J30="READY",F30&lt;&gt;"",G30&lt;&gt;"",K30&lt;&gt;"",OR(L30="PASS",L30="FAIL"),M30&lt;&gt;"",P30="social-publication-v2"),"YES","NO"))</x:f>
      </x:c>
      <x:c r="AM30" s="9" t="str">
        <x:f>IF(A30="","",IF(AND(AK30="OK",J30="READY",F30&lt;&gt;"",G30&lt;&gt;"",K30&lt;&gt;"",S30="OK",OR(R30="PASS",R30="FAIL")),"YES","NO"))</x:f>
      </x:c>
      <x:c r="AN30" s="9" t="str">
        <x:f>IF(A30="","",F30&amp;" | "&amp;G30&amp;" | "&amp;H30&amp;" | "&amp;I30)</x:f>
      </x:c>
    </x:row>
    <x:row r="31" ht="33" customHeight="1">
      <x:c r="A31" s="3"/>
      <x:c r="B31" s="3"/>
      <x:c r="C31" s="3"/>
      <x:c r="D31" s="3"/>
      <x:c r="E31" s="3"/>
      <x:c r="F31" s="3"/>
      <x:c r="G31" s="3"/>
      <x:c r="H31" s="3"/>
      <x:c r="I31" s="3"/>
      <x:c r="J31" s="3"/>
      <x:c r="K31" s="3"/>
      <x:c r="L31" s="6"/>
      <x:c r="M31" s="6"/>
      <x:c r="N31" s="6"/>
      <x:c r="O31" s="6"/>
      <x:c r="P31" s="6"/>
      <x:c r="Q31" s="7"/>
      <x:c r="R31" s="7"/>
      <x:c r="S31" s="7"/>
      <x:c r="T31" s="7"/>
      <x:c r="U31" s="7"/>
      <x:c r="V31" s="7"/>
      <x:c r="W31" s="7"/>
      <x:c r="X31" s="7"/>
      <x:c r="Y31" s="7"/>
      <x:c r="Z31" s="7"/>
      <x:c r="AA31" s="7"/>
      <x:c r="AB31" s="7"/>
      <x:c r="AC31" s="7"/>
      <x:c r="AD31" s="7"/>
      <x:c r="AE31" s="3"/>
      <x:c r="AF31" s="3"/>
      <x:c r="AG31" s="3"/>
      <x:c r="AH31" s="3"/>
      <x:c r="AI31" s="3"/>
      <x:c r="AJ31" s="9" t="str">
        <x:f>IF(A31="","",A31&amp;"|"&amp;B31)</x:f>
      </x:c>
      <x:c r="AK31" s="9" t="str">
        <x:f>IF(A31="",IF(B31="","","MISSING_TEST_ID"),IF(B31="","MISSING_RUN_ID",IF(COUNTIFS($A$2:$A$501,A31,$B$2:$B$501,B31)&lt;&gt;1,"DUPLICATE_ID","OK")))</x:f>
      </x:c>
      <x:c r="AL31" s="9" t="str">
        <x:f>IF(A31="","",IF(AND(AK31="OK",J31="READY",F31&lt;&gt;"",G31&lt;&gt;"",K31&lt;&gt;"",OR(L31="PASS",L31="FAIL"),M31&lt;&gt;"",P31="social-publication-v2"),"YES","NO"))</x:f>
      </x:c>
      <x:c r="AM31" s="9" t="str">
        <x:f>IF(A31="","",IF(AND(AK31="OK",J31="READY",F31&lt;&gt;"",G31&lt;&gt;"",K31&lt;&gt;"",S31="OK",OR(R31="PASS",R31="FAIL")),"YES","NO"))</x:f>
      </x:c>
      <x:c r="AN31" s="9" t="str">
        <x:f>IF(A31="","",F31&amp;" | "&amp;G31&amp;" | "&amp;H31&amp;" | "&amp;I31)</x:f>
      </x:c>
    </x:row>
    <x:row r="32" ht="33" customHeight="1">
      <x:c r="A32" s="3"/>
      <x:c r="B32" s="3"/>
      <x:c r="C32" s="3"/>
      <x:c r="D32" s="3"/>
      <x:c r="E32" s="3"/>
      <x:c r="F32" s="3"/>
      <x:c r="G32" s="3"/>
      <x:c r="H32" s="3"/>
      <x:c r="I32" s="3"/>
      <x:c r="J32" s="3"/>
      <x:c r="K32" s="3"/>
      <x:c r="L32" s="6"/>
      <x:c r="M32" s="6"/>
      <x:c r="N32" s="6"/>
      <x:c r="O32" s="6"/>
      <x:c r="P32" s="6"/>
      <x:c r="Q32" s="7"/>
      <x:c r="R32" s="7"/>
      <x:c r="S32" s="7"/>
      <x:c r="T32" s="7"/>
      <x:c r="U32" s="7"/>
      <x:c r="V32" s="7"/>
      <x:c r="W32" s="7"/>
      <x:c r="X32" s="7"/>
      <x:c r="Y32" s="7"/>
      <x:c r="Z32" s="7"/>
      <x:c r="AA32" s="7"/>
      <x:c r="AB32" s="7"/>
      <x:c r="AC32" s="7"/>
      <x:c r="AD32" s="7"/>
      <x:c r="AE32" s="3"/>
      <x:c r="AF32" s="3"/>
      <x:c r="AG32" s="3"/>
      <x:c r="AH32" s="3"/>
      <x:c r="AI32" s="3"/>
      <x:c r="AJ32" s="9" t="str">
        <x:f>IF(A32="","",A32&amp;"|"&amp;B32)</x:f>
      </x:c>
      <x:c r="AK32" s="9" t="str">
        <x:f>IF(A32="",IF(B32="","","MISSING_TEST_ID"),IF(B32="","MISSING_RUN_ID",IF(COUNTIFS($A$2:$A$501,A32,$B$2:$B$501,B32)&lt;&gt;1,"DUPLICATE_ID","OK")))</x:f>
      </x:c>
      <x:c r="AL32" s="9" t="str">
        <x:f>IF(A32="","",IF(AND(AK32="OK",J32="READY",F32&lt;&gt;"",G32&lt;&gt;"",K32&lt;&gt;"",OR(L32="PASS",L32="FAIL"),M32&lt;&gt;"",P32="social-publication-v2"),"YES","NO"))</x:f>
      </x:c>
      <x:c r="AM32" s="9" t="str">
        <x:f>IF(A32="","",IF(AND(AK32="OK",J32="READY",F32&lt;&gt;"",G32&lt;&gt;"",K32&lt;&gt;"",S32="OK",OR(R32="PASS",R32="FAIL")),"YES","NO"))</x:f>
      </x:c>
      <x:c r="AN32" s="9" t="str">
        <x:f>IF(A32="","",F32&amp;" | "&amp;G32&amp;" | "&amp;H32&amp;" | "&amp;I32)</x:f>
      </x:c>
    </x:row>
    <x:row r="33" ht="33" customHeight="1">
      <x:c r="A33" s="3"/>
      <x:c r="B33" s="3"/>
      <x:c r="C33" s="3"/>
      <x:c r="D33" s="3"/>
      <x:c r="E33" s="3"/>
      <x:c r="F33" s="3"/>
      <x:c r="G33" s="3"/>
      <x:c r="H33" s="3"/>
      <x:c r="I33" s="3"/>
      <x:c r="J33" s="3"/>
      <x:c r="K33" s="3"/>
      <x:c r="L33" s="6"/>
      <x:c r="M33" s="6"/>
      <x:c r="N33" s="6"/>
      <x:c r="O33" s="6"/>
      <x:c r="P33" s="6"/>
      <x:c r="Q33" s="7"/>
      <x:c r="R33" s="7"/>
      <x:c r="S33" s="7"/>
      <x:c r="T33" s="7"/>
      <x:c r="U33" s="7"/>
      <x:c r="V33" s="7"/>
      <x:c r="W33" s="7"/>
      <x:c r="X33" s="7"/>
      <x:c r="Y33" s="7"/>
      <x:c r="Z33" s="7"/>
      <x:c r="AA33" s="7"/>
      <x:c r="AB33" s="7"/>
      <x:c r="AC33" s="7"/>
      <x:c r="AD33" s="7"/>
      <x:c r="AE33" s="3"/>
      <x:c r="AF33" s="3"/>
      <x:c r="AG33" s="3"/>
      <x:c r="AH33" s="3"/>
      <x:c r="AI33" s="3"/>
      <x:c r="AJ33" s="9" t="str">
        <x:f>IF(A33="","",A33&amp;"|"&amp;B33)</x:f>
      </x:c>
      <x:c r="AK33" s="9" t="str">
        <x:f>IF(A33="",IF(B33="","","MISSING_TEST_ID"),IF(B33="","MISSING_RUN_ID",IF(COUNTIFS($A$2:$A$501,A33,$B$2:$B$501,B33)&lt;&gt;1,"DUPLICATE_ID","OK")))</x:f>
      </x:c>
      <x:c r="AL33" s="9" t="str">
        <x:f>IF(A33="","",IF(AND(AK33="OK",J33="READY",F33&lt;&gt;"",G33&lt;&gt;"",K33&lt;&gt;"",OR(L33="PASS",L33="FAIL"),M33&lt;&gt;"",P33="social-publication-v2"),"YES","NO"))</x:f>
      </x:c>
      <x:c r="AM33" s="9" t="str">
        <x:f>IF(A33="","",IF(AND(AK33="OK",J33="READY",F33&lt;&gt;"",G33&lt;&gt;"",K33&lt;&gt;"",S33="OK",OR(R33="PASS",R33="FAIL")),"YES","NO"))</x:f>
      </x:c>
      <x:c r="AN33" s="9" t="str">
        <x:f>IF(A33="","",F33&amp;" | "&amp;G33&amp;" | "&amp;H33&amp;" | "&amp;I33)</x:f>
      </x:c>
    </x:row>
    <x:row r="34" ht="33" customHeight="1">
      <x:c r="A34" s="3"/>
      <x:c r="B34" s="3"/>
      <x:c r="C34" s="3"/>
      <x:c r="D34" s="3"/>
      <x:c r="E34" s="3"/>
      <x:c r="F34" s="3"/>
      <x:c r="G34" s="3"/>
      <x:c r="H34" s="3"/>
      <x:c r="I34" s="3"/>
      <x:c r="J34" s="3"/>
      <x:c r="K34" s="3"/>
      <x:c r="L34" s="6"/>
      <x:c r="M34" s="6"/>
      <x:c r="N34" s="6"/>
      <x:c r="O34" s="6"/>
      <x:c r="P34" s="6"/>
      <x:c r="Q34" s="7"/>
      <x:c r="R34" s="7"/>
      <x:c r="S34" s="7"/>
      <x:c r="T34" s="7"/>
      <x:c r="U34" s="7"/>
      <x:c r="V34" s="7"/>
      <x:c r="W34" s="7"/>
      <x:c r="X34" s="7"/>
      <x:c r="Y34" s="7"/>
      <x:c r="Z34" s="7"/>
      <x:c r="AA34" s="7"/>
      <x:c r="AB34" s="7"/>
      <x:c r="AC34" s="7"/>
      <x:c r="AD34" s="7"/>
      <x:c r="AE34" s="3"/>
      <x:c r="AF34" s="3"/>
      <x:c r="AG34" s="3"/>
      <x:c r="AH34" s="3"/>
      <x:c r="AI34" s="3"/>
      <x:c r="AJ34" s="9" t="str">
        <x:f>IF(A34="","",A34&amp;"|"&amp;B34)</x:f>
      </x:c>
      <x:c r="AK34" s="9" t="str">
        <x:f>IF(A34="",IF(B34="","","MISSING_TEST_ID"),IF(B34="","MISSING_RUN_ID",IF(COUNTIFS($A$2:$A$501,A34,$B$2:$B$501,B34)&lt;&gt;1,"DUPLICATE_ID","OK")))</x:f>
      </x:c>
      <x:c r="AL34" s="9" t="str">
        <x:f>IF(A34="","",IF(AND(AK34="OK",J34="READY",F34&lt;&gt;"",G34&lt;&gt;"",K34&lt;&gt;"",OR(L34="PASS",L34="FAIL"),M34&lt;&gt;"",P34="social-publication-v2"),"YES","NO"))</x:f>
      </x:c>
      <x:c r="AM34" s="9" t="str">
        <x:f>IF(A34="","",IF(AND(AK34="OK",J34="READY",F34&lt;&gt;"",G34&lt;&gt;"",K34&lt;&gt;"",S34="OK",OR(R34="PASS",R34="FAIL")),"YES","NO"))</x:f>
      </x:c>
      <x:c r="AN34" s="9" t="str">
        <x:f>IF(A34="","",F34&amp;" | "&amp;G34&amp;" | "&amp;H34&amp;" | "&amp;I34)</x:f>
      </x:c>
    </x:row>
    <x:row r="35" ht="33" customHeight="1">
      <x:c r="A35" s="3"/>
      <x:c r="B35" s="3"/>
      <x:c r="C35" s="3"/>
      <x:c r="D35" s="3"/>
      <x:c r="E35" s="3"/>
      <x:c r="F35" s="3"/>
      <x:c r="G35" s="3"/>
      <x:c r="H35" s="3"/>
      <x:c r="I35" s="3"/>
      <x:c r="J35" s="3"/>
      <x:c r="K35" s="3"/>
      <x:c r="L35" s="6"/>
      <x:c r="M35" s="6"/>
      <x:c r="N35" s="6"/>
      <x:c r="O35" s="6"/>
      <x:c r="P35" s="6"/>
      <x:c r="Q35" s="7"/>
      <x:c r="R35" s="7"/>
      <x:c r="S35" s="7"/>
      <x:c r="T35" s="7"/>
      <x:c r="U35" s="7"/>
      <x:c r="V35" s="7"/>
      <x:c r="W35" s="7"/>
      <x:c r="X35" s="7"/>
      <x:c r="Y35" s="7"/>
      <x:c r="Z35" s="7"/>
      <x:c r="AA35" s="7"/>
      <x:c r="AB35" s="7"/>
      <x:c r="AC35" s="7"/>
      <x:c r="AD35" s="7"/>
      <x:c r="AE35" s="3"/>
      <x:c r="AF35" s="3"/>
      <x:c r="AG35" s="3"/>
      <x:c r="AH35" s="3"/>
      <x:c r="AI35" s="3"/>
      <x:c r="AJ35" s="9" t="str">
        <x:f>IF(A35="","",A35&amp;"|"&amp;B35)</x:f>
      </x:c>
      <x:c r="AK35" s="9" t="str">
        <x:f>IF(A35="",IF(B35="","","MISSING_TEST_ID"),IF(B35="","MISSING_RUN_ID",IF(COUNTIFS($A$2:$A$501,A35,$B$2:$B$501,B35)&lt;&gt;1,"DUPLICATE_ID","OK")))</x:f>
      </x:c>
      <x:c r="AL35" s="9" t="str">
        <x:f>IF(A35="","",IF(AND(AK35="OK",J35="READY",F35&lt;&gt;"",G35&lt;&gt;"",K35&lt;&gt;"",OR(L35="PASS",L35="FAIL"),M35&lt;&gt;"",P35="social-publication-v2"),"YES","NO"))</x:f>
      </x:c>
      <x:c r="AM35" s="9" t="str">
        <x:f>IF(A35="","",IF(AND(AK35="OK",J35="READY",F35&lt;&gt;"",G35&lt;&gt;"",K35&lt;&gt;"",S35="OK",OR(R35="PASS",R35="FAIL")),"YES","NO"))</x:f>
      </x:c>
      <x:c r="AN35" s="9" t="str">
        <x:f>IF(A35="","",F35&amp;" | "&amp;G35&amp;" | "&amp;H35&amp;" | "&amp;I35)</x:f>
      </x:c>
    </x:row>
    <x:row r="36" ht="33" customHeight="1">
      <x:c r="A36" s="3"/>
      <x:c r="B36" s="3"/>
      <x:c r="C36" s="3"/>
      <x:c r="D36" s="3"/>
      <x:c r="E36" s="3"/>
      <x:c r="F36" s="3"/>
      <x:c r="G36" s="3"/>
      <x:c r="H36" s="3"/>
      <x:c r="I36" s="3"/>
      <x:c r="J36" s="3"/>
      <x:c r="K36" s="3"/>
      <x:c r="L36" s="6"/>
      <x:c r="M36" s="6"/>
      <x:c r="N36" s="6"/>
      <x:c r="O36" s="6"/>
      <x:c r="P36" s="6"/>
      <x:c r="Q36" s="7"/>
      <x:c r="R36" s="7"/>
      <x:c r="S36" s="7"/>
      <x:c r="T36" s="7"/>
      <x:c r="U36" s="7"/>
      <x:c r="V36" s="7"/>
      <x:c r="W36" s="7"/>
      <x:c r="X36" s="7"/>
      <x:c r="Y36" s="7"/>
      <x:c r="Z36" s="7"/>
      <x:c r="AA36" s="7"/>
      <x:c r="AB36" s="7"/>
      <x:c r="AC36" s="7"/>
      <x:c r="AD36" s="7"/>
      <x:c r="AE36" s="3"/>
      <x:c r="AF36" s="3"/>
      <x:c r="AG36" s="3"/>
      <x:c r="AH36" s="3"/>
      <x:c r="AI36" s="3"/>
      <x:c r="AJ36" s="9" t="str">
        <x:f>IF(A36="","",A36&amp;"|"&amp;B36)</x:f>
      </x:c>
      <x:c r="AK36" s="9" t="str">
        <x:f>IF(A36="",IF(B36="","","MISSING_TEST_ID"),IF(B36="","MISSING_RUN_ID",IF(COUNTIFS($A$2:$A$501,A36,$B$2:$B$501,B36)&lt;&gt;1,"DUPLICATE_ID","OK")))</x:f>
      </x:c>
      <x:c r="AL36" s="9" t="str">
        <x:f>IF(A36="","",IF(AND(AK36="OK",J36="READY",F36&lt;&gt;"",G36&lt;&gt;"",K36&lt;&gt;"",OR(L36="PASS",L36="FAIL"),M36&lt;&gt;"",P36="social-publication-v2"),"YES","NO"))</x:f>
      </x:c>
      <x:c r="AM36" s="9" t="str">
        <x:f>IF(A36="","",IF(AND(AK36="OK",J36="READY",F36&lt;&gt;"",G36&lt;&gt;"",K36&lt;&gt;"",S36="OK",OR(R36="PASS",R36="FAIL")),"YES","NO"))</x:f>
      </x:c>
      <x:c r="AN36" s="9" t="str">
        <x:f>IF(A36="","",F36&amp;" | "&amp;G36&amp;" | "&amp;H36&amp;" | "&amp;I36)</x:f>
      </x:c>
    </x:row>
    <x:row r="37" ht="33" customHeight="1">
      <x:c r="A37" s="3"/>
      <x:c r="B37" s="3"/>
      <x:c r="C37" s="3"/>
      <x:c r="D37" s="3"/>
      <x:c r="E37" s="3"/>
      <x:c r="F37" s="3"/>
      <x:c r="G37" s="3"/>
      <x:c r="H37" s="3"/>
      <x:c r="I37" s="3"/>
      <x:c r="J37" s="3"/>
      <x:c r="K37" s="3"/>
      <x:c r="L37" s="6"/>
      <x:c r="M37" s="6"/>
      <x:c r="N37" s="6"/>
      <x:c r="O37" s="6"/>
      <x:c r="P37" s="6"/>
      <x:c r="Q37" s="7"/>
      <x:c r="R37" s="7"/>
      <x:c r="S37" s="7"/>
      <x:c r="T37" s="7"/>
      <x:c r="U37" s="7"/>
      <x:c r="V37" s="7"/>
      <x:c r="W37" s="7"/>
      <x:c r="X37" s="7"/>
      <x:c r="Y37" s="7"/>
      <x:c r="Z37" s="7"/>
      <x:c r="AA37" s="7"/>
      <x:c r="AB37" s="7"/>
      <x:c r="AC37" s="7"/>
      <x:c r="AD37" s="7"/>
      <x:c r="AE37" s="3"/>
      <x:c r="AF37" s="3"/>
      <x:c r="AG37" s="3"/>
      <x:c r="AH37" s="3"/>
      <x:c r="AI37" s="3"/>
      <x:c r="AJ37" s="9" t="str">
        <x:f>IF(A37="","",A37&amp;"|"&amp;B37)</x:f>
      </x:c>
      <x:c r="AK37" s="9" t="str">
        <x:f>IF(A37="",IF(B37="","","MISSING_TEST_ID"),IF(B37="","MISSING_RUN_ID",IF(COUNTIFS($A$2:$A$501,A37,$B$2:$B$501,B37)&lt;&gt;1,"DUPLICATE_ID","OK")))</x:f>
      </x:c>
      <x:c r="AL37" s="9" t="str">
        <x:f>IF(A37="","",IF(AND(AK37="OK",J37="READY",F37&lt;&gt;"",G37&lt;&gt;"",K37&lt;&gt;"",OR(L37="PASS",L37="FAIL"),M37&lt;&gt;"",P37="social-publication-v2"),"YES","NO"))</x:f>
      </x:c>
      <x:c r="AM37" s="9" t="str">
        <x:f>IF(A37="","",IF(AND(AK37="OK",J37="READY",F37&lt;&gt;"",G37&lt;&gt;"",K37&lt;&gt;"",S37="OK",OR(R37="PASS",R37="FAIL")),"YES","NO"))</x:f>
      </x:c>
      <x:c r="AN37" s="9" t="str">
        <x:f>IF(A37="","",F37&amp;" | "&amp;G37&amp;" | "&amp;H37&amp;" | "&amp;I37)</x:f>
      </x:c>
    </x:row>
    <x:row r="38" ht="33" customHeight="1">
      <x:c r="A38" s="3"/>
      <x:c r="B38" s="3"/>
      <x:c r="C38" s="3"/>
      <x:c r="D38" s="3"/>
      <x:c r="E38" s="3"/>
      <x:c r="F38" s="3"/>
      <x:c r="G38" s="3"/>
      <x:c r="H38" s="3"/>
      <x:c r="I38" s="3"/>
      <x:c r="J38" s="3"/>
      <x:c r="K38" s="3"/>
      <x:c r="L38" s="6"/>
      <x:c r="M38" s="6"/>
      <x:c r="N38" s="6"/>
      <x:c r="O38" s="6"/>
      <x:c r="P38" s="6"/>
      <x:c r="Q38" s="7"/>
      <x:c r="R38" s="7"/>
      <x:c r="S38" s="7"/>
      <x:c r="T38" s="7"/>
      <x:c r="U38" s="7"/>
      <x:c r="V38" s="7"/>
      <x:c r="W38" s="7"/>
      <x:c r="X38" s="7"/>
      <x:c r="Y38" s="7"/>
      <x:c r="Z38" s="7"/>
      <x:c r="AA38" s="7"/>
      <x:c r="AB38" s="7"/>
      <x:c r="AC38" s="7"/>
      <x:c r="AD38" s="7"/>
      <x:c r="AE38" s="3"/>
      <x:c r="AF38" s="3"/>
      <x:c r="AG38" s="3"/>
      <x:c r="AH38" s="3"/>
      <x:c r="AI38" s="3"/>
      <x:c r="AJ38" s="9" t="str">
        <x:f>IF(A38="","",A38&amp;"|"&amp;B38)</x:f>
      </x:c>
      <x:c r="AK38" s="9" t="str">
        <x:f>IF(A38="",IF(B38="","","MISSING_TEST_ID"),IF(B38="","MISSING_RUN_ID",IF(COUNTIFS($A$2:$A$501,A38,$B$2:$B$501,B38)&lt;&gt;1,"DUPLICATE_ID","OK")))</x:f>
      </x:c>
      <x:c r="AL38" s="9" t="str">
        <x:f>IF(A38="","",IF(AND(AK38="OK",J38="READY",F38&lt;&gt;"",G38&lt;&gt;"",K38&lt;&gt;"",OR(L38="PASS",L38="FAIL"),M38&lt;&gt;"",P38="social-publication-v2"),"YES","NO"))</x:f>
      </x:c>
      <x:c r="AM38" s="9" t="str">
        <x:f>IF(A38="","",IF(AND(AK38="OK",J38="READY",F38&lt;&gt;"",G38&lt;&gt;"",K38&lt;&gt;"",S38="OK",OR(R38="PASS",R38="FAIL")),"YES","NO"))</x:f>
      </x:c>
      <x:c r="AN38" s="9" t="str">
        <x:f>IF(A38="","",F38&amp;" | "&amp;G38&amp;" | "&amp;H38&amp;" | "&amp;I38)</x:f>
      </x:c>
    </x:row>
    <x:row r="39" ht="33" customHeight="1">
      <x:c r="A39" s="3"/>
      <x:c r="B39" s="3"/>
      <x:c r="C39" s="3"/>
      <x:c r="D39" s="3"/>
      <x:c r="E39" s="3"/>
      <x:c r="F39" s="3"/>
      <x:c r="G39" s="3"/>
      <x:c r="H39" s="3"/>
      <x:c r="I39" s="3"/>
      <x:c r="J39" s="3"/>
      <x:c r="K39" s="3"/>
      <x:c r="L39" s="6"/>
      <x:c r="M39" s="6"/>
      <x:c r="N39" s="6"/>
      <x:c r="O39" s="6"/>
      <x:c r="P39" s="6"/>
      <x:c r="Q39" s="7"/>
      <x:c r="R39" s="7"/>
      <x:c r="S39" s="7"/>
      <x:c r="T39" s="7"/>
      <x:c r="U39" s="7"/>
      <x:c r="V39" s="7"/>
      <x:c r="W39" s="7"/>
      <x:c r="X39" s="7"/>
      <x:c r="Y39" s="7"/>
      <x:c r="Z39" s="7"/>
      <x:c r="AA39" s="7"/>
      <x:c r="AB39" s="7"/>
      <x:c r="AC39" s="7"/>
      <x:c r="AD39" s="7"/>
      <x:c r="AE39" s="3"/>
      <x:c r="AF39" s="3"/>
      <x:c r="AG39" s="3"/>
      <x:c r="AH39" s="3"/>
      <x:c r="AI39" s="3"/>
      <x:c r="AJ39" s="9" t="str">
        <x:f>IF(A39="","",A39&amp;"|"&amp;B39)</x:f>
      </x:c>
      <x:c r="AK39" s="9" t="str">
        <x:f>IF(A39="",IF(B39="","","MISSING_TEST_ID"),IF(B39="","MISSING_RUN_ID",IF(COUNTIFS($A$2:$A$501,A39,$B$2:$B$501,B39)&lt;&gt;1,"DUPLICATE_ID","OK")))</x:f>
      </x:c>
      <x:c r="AL39" s="9" t="str">
        <x:f>IF(A39="","",IF(AND(AK39="OK",J39="READY",F39&lt;&gt;"",G39&lt;&gt;"",K39&lt;&gt;"",OR(L39="PASS",L39="FAIL"),M39&lt;&gt;"",P39="social-publication-v2"),"YES","NO"))</x:f>
      </x:c>
      <x:c r="AM39" s="9" t="str">
        <x:f>IF(A39="","",IF(AND(AK39="OK",J39="READY",F39&lt;&gt;"",G39&lt;&gt;"",K39&lt;&gt;"",S39="OK",OR(R39="PASS",R39="FAIL")),"YES","NO"))</x:f>
      </x:c>
      <x:c r="AN39" s="9" t="str">
        <x:f>IF(A39="","",F39&amp;" | "&amp;G39&amp;" | "&amp;H39&amp;" | "&amp;I39)</x:f>
      </x:c>
    </x:row>
    <x:row r="40" ht="33" customHeight="1">
      <x:c r="A40" s="3"/>
      <x:c r="B40" s="3"/>
      <x:c r="C40" s="3"/>
      <x:c r="D40" s="3"/>
      <x:c r="E40" s="3"/>
      <x:c r="F40" s="3"/>
      <x:c r="G40" s="3"/>
      <x:c r="H40" s="3"/>
      <x:c r="I40" s="3"/>
      <x:c r="J40" s="3"/>
      <x:c r="K40" s="3"/>
      <x:c r="L40" s="6"/>
      <x:c r="M40" s="6"/>
      <x:c r="N40" s="6"/>
      <x:c r="O40" s="6"/>
      <x:c r="P40" s="6"/>
      <x:c r="Q40" s="7"/>
      <x:c r="R40" s="7"/>
      <x:c r="S40" s="7"/>
      <x:c r="T40" s="7"/>
      <x:c r="U40" s="7"/>
      <x:c r="V40" s="7"/>
      <x:c r="W40" s="7"/>
      <x:c r="X40" s="7"/>
      <x:c r="Y40" s="7"/>
      <x:c r="Z40" s="7"/>
      <x:c r="AA40" s="7"/>
      <x:c r="AB40" s="7"/>
      <x:c r="AC40" s="7"/>
      <x:c r="AD40" s="7"/>
      <x:c r="AE40" s="3"/>
      <x:c r="AF40" s="3"/>
      <x:c r="AG40" s="3"/>
      <x:c r="AH40" s="3"/>
      <x:c r="AI40" s="3"/>
      <x:c r="AJ40" s="9" t="str">
        <x:f>IF(A40="","",A40&amp;"|"&amp;B40)</x:f>
      </x:c>
      <x:c r="AK40" s="9" t="str">
        <x:f>IF(A40="",IF(B40="","","MISSING_TEST_ID"),IF(B40="","MISSING_RUN_ID",IF(COUNTIFS($A$2:$A$501,A40,$B$2:$B$501,B40)&lt;&gt;1,"DUPLICATE_ID","OK")))</x:f>
      </x:c>
      <x:c r="AL40" s="9" t="str">
        <x:f>IF(A40="","",IF(AND(AK40="OK",J40="READY",F40&lt;&gt;"",G40&lt;&gt;"",K40&lt;&gt;"",OR(L40="PASS",L40="FAIL"),M40&lt;&gt;"",P40="social-publication-v2"),"YES","NO"))</x:f>
      </x:c>
      <x:c r="AM40" s="9" t="str">
        <x:f>IF(A40="","",IF(AND(AK40="OK",J40="READY",F40&lt;&gt;"",G40&lt;&gt;"",K40&lt;&gt;"",S40="OK",OR(R40="PASS",R40="FAIL")),"YES","NO"))</x:f>
      </x:c>
      <x:c r="AN40" s="9" t="str">
        <x:f>IF(A40="","",F40&amp;" | "&amp;G40&amp;" | "&amp;H40&amp;" | "&amp;I40)</x:f>
      </x:c>
    </x:row>
    <x:row r="41" ht="33" customHeight="1">
      <x:c r="A41" s="3"/>
      <x:c r="B41" s="3"/>
      <x:c r="C41" s="3"/>
      <x:c r="D41" s="3"/>
      <x:c r="E41" s="3"/>
      <x:c r="F41" s="3"/>
      <x:c r="G41" s="3"/>
      <x:c r="H41" s="3"/>
      <x:c r="I41" s="3"/>
      <x:c r="J41" s="3"/>
      <x:c r="K41" s="3"/>
      <x:c r="L41" s="6"/>
      <x:c r="M41" s="6"/>
      <x:c r="N41" s="6"/>
      <x:c r="O41" s="6"/>
      <x:c r="P41" s="6"/>
      <x:c r="Q41" s="7"/>
      <x:c r="R41" s="7"/>
      <x:c r="S41" s="7"/>
      <x:c r="T41" s="7"/>
      <x:c r="U41" s="7"/>
      <x:c r="V41" s="7"/>
      <x:c r="W41" s="7"/>
      <x:c r="X41" s="7"/>
      <x:c r="Y41" s="7"/>
      <x:c r="Z41" s="7"/>
      <x:c r="AA41" s="7"/>
      <x:c r="AB41" s="7"/>
      <x:c r="AC41" s="7"/>
      <x:c r="AD41" s="7"/>
      <x:c r="AE41" s="3"/>
      <x:c r="AF41" s="3"/>
      <x:c r="AG41" s="3"/>
      <x:c r="AH41" s="3"/>
      <x:c r="AI41" s="3"/>
      <x:c r="AJ41" s="9" t="str">
        <x:f>IF(A41="","",A41&amp;"|"&amp;B41)</x:f>
      </x:c>
      <x:c r="AK41" s="9" t="str">
        <x:f>IF(A41="",IF(B41="","","MISSING_TEST_ID"),IF(B41="","MISSING_RUN_ID",IF(COUNTIFS($A$2:$A$501,A41,$B$2:$B$501,B41)&lt;&gt;1,"DUPLICATE_ID","OK")))</x:f>
      </x:c>
      <x:c r="AL41" s="9" t="str">
        <x:f>IF(A41="","",IF(AND(AK41="OK",J41="READY",F41&lt;&gt;"",G41&lt;&gt;"",K41&lt;&gt;"",OR(L41="PASS",L41="FAIL"),M41&lt;&gt;"",P41="social-publication-v2"),"YES","NO"))</x:f>
      </x:c>
      <x:c r="AM41" s="9" t="str">
        <x:f>IF(A41="","",IF(AND(AK41="OK",J41="READY",F41&lt;&gt;"",G41&lt;&gt;"",K41&lt;&gt;"",S41="OK",OR(R41="PASS",R41="FAIL")),"YES","NO"))</x:f>
      </x:c>
      <x:c r="AN41" s="9" t="str">
        <x:f>IF(A41="","",F41&amp;" | "&amp;G41&amp;" | "&amp;H41&amp;" | "&amp;I41)</x:f>
      </x:c>
    </x:row>
    <x:row r="42" ht="33" customHeight="1">
      <x:c r="A42" s="3"/>
      <x:c r="B42" s="3"/>
      <x:c r="C42" s="3"/>
      <x:c r="D42" s="3"/>
      <x:c r="E42" s="3"/>
      <x:c r="F42" s="3"/>
      <x:c r="G42" s="3"/>
      <x:c r="H42" s="3"/>
      <x:c r="I42" s="3"/>
      <x:c r="J42" s="3"/>
      <x:c r="K42" s="3"/>
      <x:c r="L42" s="6"/>
      <x:c r="M42" s="6"/>
      <x:c r="N42" s="6"/>
      <x:c r="O42" s="6"/>
      <x:c r="P42" s="6"/>
      <x:c r="Q42" s="7"/>
      <x:c r="R42" s="7"/>
      <x:c r="S42" s="7"/>
      <x:c r="T42" s="7"/>
      <x:c r="U42" s="7"/>
      <x:c r="V42" s="7"/>
      <x:c r="W42" s="7"/>
      <x:c r="X42" s="7"/>
      <x:c r="Y42" s="7"/>
      <x:c r="Z42" s="7"/>
      <x:c r="AA42" s="7"/>
      <x:c r="AB42" s="7"/>
      <x:c r="AC42" s="7"/>
      <x:c r="AD42" s="7"/>
      <x:c r="AE42" s="3"/>
      <x:c r="AF42" s="3"/>
      <x:c r="AG42" s="3"/>
      <x:c r="AH42" s="3"/>
      <x:c r="AI42" s="3"/>
      <x:c r="AJ42" s="9" t="str">
        <x:f>IF(A42="","",A42&amp;"|"&amp;B42)</x:f>
      </x:c>
      <x:c r="AK42" s="9" t="str">
        <x:f>IF(A42="",IF(B42="","","MISSING_TEST_ID"),IF(B42="","MISSING_RUN_ID",IF(COUNTIFS($A$2:$A$501,A42,$B$2:$B$501,B42)&lt;&gt;1,"DUPLICATE_ID","OK")))</x:f>
      </x:c>
      <x:c r="AL42" s="9" t="str">
        <x:f>IF(A42="","",IF(AND(AK42="OK",J42="READY",F42&lt;&gt;"",G42&lt;&gt;"",K42&lt;&gt;"",OR(L42="PASS",L42="FAIL"),M42&lt;&gt;"",P42="social-publication-v2"),"YES","NO"))</x:f>
      </x:c>
      <x:c r="AM42" s="9" t="str">
        <x:f>IF(A42="","",IF(AND(AK42="OK",J42="READY",F42&lt;&gt;"",G42&lt;&gt;"",K42&lt;&gt;"",S42="OK",OR(R42="PASS",R42="FAIL")),"YES","NO"))</x:f>
      </x:c>
      <x:c r="AN42" s="9" t="str">
        <x:f>IF(A42="","",F42&amp;" | "&amp;G42&amp;" | "&amp;H42&amp;" | "&amp;I42)</x:f>
      </x:c>
    </x:row>
    <x:row r="43" ht="33" customHeight="1">
      <x:c r="A43" s="3"/>
      <x:c r="B43" s="3"/>
      <x:c r="C43" s="3"/>
      <x:c r="D43" s="3"/>
      <x:c r="E43" s="3"/>
      <x:c r="F43" s="3"/>
      <x:c r="G43" s="3"/>
      <x:c r="H43" s="3"/>
      <x:c r="I43" s="3"/>
      <x:c r="J43" s="3"/>
      <x:c r="K43" s="3"/>
      <x:c r="L43" s="6"/>
      <x:c r="M43" s="6"/>
      <x:c r="N43" s="6"/>
      <x:c r="O43" s="6"/>
      <x:c r="P43" s="6"/>
      <x:c r="Q43" s="7"/>
      <x:c r="R43" s="7"/>
      <x:c r="S43" s="7"/>
      <x:c r="T43" s="7"/>
      <x:c r="U43" s="7"/>
      <x:c r="V43" s="7"/>
      <x:c r="W43" s="7"/>
      <x:c r="X43" s="7"/>
      <x:c r="Y43" s="7"/>
      <x:c r="Z43" s="7"/>
      <x:c r="AA43" s="7"/>
      <x:c r="AB43" s="7"/>
      <x:c r="AC43" s="7"/>
      <x:c r="AD43" s="7"/>
      <x:c r="AE43" s="3"/>
      <x:c r="AF43" s="3"/>
      <x:c r="AG43" s="3"/>
      <x:c r="AH43" s="3"/>
      <x:c r="AI43" s="3"/>
      <x:c r="AJ43" s="9" t="str">
        <x:f>IF(A43="","",A43&amp;"|"&amp;B43)</x:f>
      </x:c>
      <x:c r="AK43" s="9" t="str">
        <x:f>IF(A43="",IF(B43="","","MISSING_TEST_ID"),IF(B43="","MISSING_RUN_ID",IF(COUNTIFS($A$2:$A$501,A43,$B$2:$B$501,B43)&lt;&gt;1,"DUPLICATE_ID","OK")))</x:f>
      </x:c>
      <x:c r="AL43" s="9" t="str">
        <x:f>IF(A43="","",IF(AND(AK43="OK",J43="READY",F43&lt;&gt;"",G43&lt;&gt;"",K43&lt;&gt;"",OR(L43="PASS",L43="FAIL"),M43&lt;&gt;"",P43="social-publication-v2"),"YES","NO"))</x:f>
      </x:c>
      <x:c r="AM43" s="9" t="str">
        <x:f>IF(A43="","",IF(AND(AK43="OK",J43="READY",F43&lt;&gt;"",G43&lt;&gt;"",K43&lt;&gt;"",S43="OK",OR(R43="PASS",R43="FAIL")),"YES","NO"))</x:f>
      </x:c>
      <x:c r="AN43" s="9" t="str">
        <x:f>IF(A43="","",F43&amp;" | "&amp;G43&amp;" | "&amp;H43&amp;" | "&amp;I43)</x:f>
      </x:c>
    </x:row>
    <x:row r="44" ht="33" customHeight="1">
      <x:c r="A44" s="3"/>
      <x:c r="B44" s="3"/>
      <x:c r="C44" s="3"/>
      <x:c r="D44" s="3"/>
      <x:c r="E44" s="3"/>
      <x:c r="F44" s="3"/>
      <x:c r="G44" s="3"/>
      <x:c r="H44" s="3"/>
      <x:c r="I44" s="3"/>
      <x:c r="J44" s="3"/>
      <x:c r="K44" s="3"/>
      <x:c r="L44" s="6"/>
      <x:c r="M44" s="6"/>
      <x:c r="N44" s="6"/>
      <x:c r="O44" s="6"/>
      <x:c r="P44" s="6"/>
      <x:c r="Q44" s="7"/>
      <x:c r="R44" s="7"/>
      <x:c r="S44" s="7"/>
      <x:c r="T44" s="7"/>
      <x:c r="U44" s="7"/>
      <x:c r="V44" s="7"/>
      <x:c r="W44" s="7"/>
      <x:c r="X44" s="7"/>
      <x:c r="Y44" s="7"/>
      <x:c r="Z44" s="7"/>
      <x:c r="AA44" s="7"/>
      <x:c r="AB44" s="7"/>
      <x:c r="AC44" s="7"/>
      <x:c r="AD44" s="7"/>
      <x:c r="AE44" s="3"/>
      <x:c r="AF44" s="3"/>
      <x:c r="AG44" s="3"/>
      <x:c r="AH44" s="3"/>
      <x:c r="AI44" s="3"/>
      <x:c r="AJ44" s="9" t="str">
        <x:f>IF(A44="","",A44&amp;"|"&amp;B44)</x:f>
      </x:c>
      <x:c r="AK44" s="9" t="str">
        <x:f>IF(A44="",IF(B44="","","MISSING_TEST_ID"),IF(B44="","MISSING_RUN_ID",IF(COUNTIFS($A$2:$A$501,A44,$B$2:$B$501,B44)&lt;&gt;1,"DUPLICATE_ID","OK")))</x:f>
      </x:c>
      <x:c r="AL44" s="9" t="str">
        <x:f>IF(A44="","",IF(AND(AK44="OK",J44="READY",F44&lt;&gt;"",G44&lt;&gt;"",K44&lt;&gt;"",OR(L44="PASS",L44="FAIL"),M44&lt;&gt;"",P44="social-publication-v2"),"YES","NO"))</x:f>
      </x:c>
      <x:c r="AM44" s="9" t="str">
        <x:f>IF(A44="","",IF(AND(AK44="OK",J44="READY",F44&lt;&gt;"",G44&lt;&gt;"",K44&lt;&gt;"",S44="OK",OR(R44="PASS",R44="FAIL")),"YES","NO"))</x:f>
      </x:c>
      <x:c r="AN44" s="9" t="str">
        <x:f>IF(A44="","",F44&amp;" | "&amp;G44&amp;" | "&amp;H44&amp;" | "&amp;I44)</x:f>
      </x:c>
    </x:row>
    <x:row r="45" ht="33" customHeight="1">
      <x:c r="A45" s="3"/>
      <x:c r="B45" s="3"/>
      <x:c r="C45" s="3"/>
      <x:c r="D45" s="3"/>
      <x:c r="E45" s="3"/>
      <x:c r="F45" s="3"/>
      <x:c r="G45" s="3"/>
      <x:c r="H45" s="3"/>
      <x:c r="I45" s="3"/>
      <x:c r="J45" s="3"/>
      <x:c r="K45" s="3"/>
      <x:c r="L45" s="6"/>
      <x:c r="M45" s="6"/>
      <x:c r="N45" s="6"/>
      <x:c r="O45" s="6"/>
      <x:c r="P45" s="6"/>
      <x:c r="Q45" s="7"/>
      <x:c r="R45" s="7"/>
      <x:c r="S45" s="7"/>
      <x:c r="T45" s="7"/>
      <x:c r="U45" s="7"/>
      <x:c r="V45" s="7"/>
      <x:c r="W45" s="7"/>
      <x:c r="X45" s="7"/>
      <x:c r="Y45" s="7"/>
      <x:c r="Z45" s="7"/>
      <x:c r="AA45" s="7"/>
      <x:c r="AB45" s="7"/>
      <x:c r="AC45" s="7"/>
      <x:c r="AD45" s="7"/>
      <x:c r="AE45" s="3"/>
      <x:c r="AF45" s="3"/>
      <x:c r="AG45" s="3"/>
      <x:c r="AH45" s="3"/>
      <x:c r="AI45" s="3"/>
      <x:c r="AJ45" s="9" t="str">
        <x:f>IF(A45="","",A45&amp;"|"&amp;B45)</x:f>
      </x:c>
      <x:c r="AK45" s="9" t="str">
        <x:f>IF(A45="",IF(B45="","","MISSING_TEST_ID"),IF(B45="","MISSING_RUN_ID",IF(COUNTIFS($A$2:$A$501,A45,$B$2:$B$501,B45)&lt;&gt;1,"DUPLICATE_ID","OK")))</x:f>
      </x:c>
      <x:c r="AL45" s="9" t="str">
        <x:f>IF(A45="","",IF(AND(AK45="OK",J45="READY",F45&lt;&gt;"",G45&lt;&gt;"",K45&lt;&gt;"",OR(L45="PASS",L45="FAIL"),M45&lt;&gt;"",P45="social-publication-v2"),"YES","NO"))</x:f>
      </x:c>
      <x:c r="AM45" s="9" t="str">
        <x:f>IF(A45="","",IF(AND(AK45="OK",J45="READY",F45&lt;&gt;"",G45&lt;&gt;"",K45&lt;&gt;"",S45="OK",OR(R45="PASS",R45="FAIL")),"YES","NO"))</x:f>
      </x:c>
      <x:c r="AN45" s="9" t="str">
        <x:f>IF(A45="","",F45&amp;" | "&amp;G45&amp;" | "&amp;H45&amp;" | "&amp;I45)</x:f>
      </x:c>
    </x:row>
    <x:row r="46" ht="33" customHeight="1">
      <x:c r="A46" s="3"/>
      <x:c r="B46" s="3"/>
      <x:c r="C46" s="3"/>
      <x:c r="D46" s="3"/>
      <x:c r="E46" s="3"/>
      <x:c r="F46" s="3"/>
      <x:c r="G46" s="3"/>
      <x:c r="H46" s="3"/>
      <x:c r="I46" s="3"/>
      <x:c r="J46" s="3"/>
      <x:c r="K46" s="3"/>
      <x:c r="L46" s="6"/>
      <x:c r="M46" s="6"/>
      <x:c r="N46" s="6"/>
      <x:c r="O46" s="6"/>
      <x:c r="P46" s="6"/>
      <x:c r="Q46" s="7"/>
      <x:c r="R46" s="7"/>
      <x:c r="S46" s="7"/>
      <x:c r="T46" s="7"/>
      <x:c r="U46" s="7"/>
      <x:c r="V46" s="7"/>
      <x:c r="W46" s="7"/>
      <x:c r="X46" s="7"/>
      <x:c r="Y46" s="7"/>
      <x:c r="Z46" s="7"/>
      <x:c r="AA46" s="7"/>
      <x:c r="AB46" s="7"/>
      <x:c r="AC46" s="7"/>
      <x:c r="AD46" s="7"/>
      <x:c r="AE46" s="3"/>
      <x:c r="AF46" s="3"/>
      <x:c r="AG46" s="3"/>
      <x:c r="AH46" s="3"/>
      <x:c r="AI46" s="3"/>
      <x:c r="AJ46" s="9" t="str">
        <x:f>IF(A46="","",A46&amp;"|"&amp;B46)</x:f>
      </x:c>
      <x:c r="AK46" s="9" t="str">
        <x:f>IF(A46="",IF(B46="","","MISSING_TEST_ID"),IF(B46="","MISSING_RUN_ID",IF(COUNTIFS($A$2:$A$501,A46,$B$2:$B$501,B46)&lt;&gt;1,"DUPLICATE_ID","OK")))</x:f>
      </x:c>
      <x:c r="AL46" s="9" t="str">
        <x:f>IF(A46="","",IF(AND(AK46="OK",J46="READY",F46&lt;&gt;"",G46&lt;&gt;"",K46&lt;&gt;"",OR(L46="PASS",L46="FAIL"),M46&lt;&gt;"",P46="social-publication-v2"),"YES","NO"))</x:f>
      </x:c>
      <x:c r="AM46" s="9" t="str">
        <x:f>IF(A46="","",IF(AND(AK46="OK",J46="READY",F46&lt;&gt;"",G46&lt;&gt;"",K46&lt;&gt;"",S46="OK",OR(R46="PASS",R46="FAIL")),"YES","NO"))</x:f>
      </x:c>
      <x:c r="AN46" s="9" t="str">
        <x:f>IF(A46="","",F46&amp;" | "&amp;G46&amp;" | "&amp;H46&amp;" | "&amp;I46)</x:f>
      </x:c>
    </x:row>
    <x:row r="47" ht="33" customHeight="1">
      <x:c r="A47" s="3"/>
      <x:c r="B47" s="3"/>
      <x:c r="C47" s="3"/>
      <x:c r="D47" s="3"/>
      <x:c r="E47" s="3"/>
      <x:c r="F47" s="3"/>
      <x:c r="G47" s="3"/>
      <x:c r="H47" s="3"/>
      <x:c r="I47" s="3"/>
      <x:c r="J47" s="3"/>
      <x:c r="K47" s="3"/>
      <x:c r="L47" s="6"/>
      <x:c r="M47" s="6"/>
      <x:c r="N47" s="6"/>
      <x:c r="O47" s="6"/>
      <x:c r="P47" s="6"/>
      <x:c r="Q47" s="7"/>
      <x:c r="R47" s="7"/>
      <x:c r="S47" s="7"/>
      <x:c r="T47" s="7"/>
      <x:c r="U47" s="7"/>
      <x:c r="V47" s="7"/>
      <x:c r="W47" s="7"/>
      <x:c r="X47" s="7"/>
      <x:c r="Y47" s="7"/>
      <x:c r="Z47" s="7"/>
      <x:c r="AA47" s="7"/>
      <x:c r="AB47" s="7"/>
      <x:c r="AC47" s="7"/>
      <x:c r="AD47" s="7"/>
      <x:c r="AE47" s="3"/>
      <x:c r="AF47" s="3"/>
      <x:c r="AG47" s="3"/>
      <x:c r="AH47" s="3"/>
      <x:c r="AI47" s="3"/>
      <x:c r="AJ47" s="9" t="str">
        <x:f>IF(A47="","",A47&amp;"|"&amp;B47)</x:f>
      </x:c>
      <x:c r="AK47" s="9" t="str">
        <x:f>IF(A47="",IF(B47="","","MISSING_TEST_ID"),IF(B47="","MISSING_RUN_ID",IF(COUNTIFS($A$2:$A$501,A47,$B$2:$B$501,B47)&lt;&gt;1,"DUPLICATE_ID","OK")))</x:f>
      </x:c>
      <x:c r="AL47" s="9" t="str">
        <x:f>IF(A47="","",IF(AND(AK47="OK",J47="READY",F47&lt;&gt;"",G47&lt;&gt;"",K47&lt;&gt;"",OR(L47="PASS",L47="FAIL"),M47&lt;&gt;"",P47="social-publication-v2"),"YES","NO"))</x:f>
      </x:c>
      <x:c r="AM47" s="9" t="str">
        <x:f>IF(A47="","",IF(AND(AK47="OK",J47="READY",F47&lt;&gt;"",G47&lt;&gt;"",K47&lt;&gt;"",S47="OK",OR(R47="PASS",R47="FAIL")),"YES","NO"))</x:f>
      </x:c>
      <x:c r="AN47" s="9" t="str">
        <x:f>IF(A47="","",F47&amp;" | "&amp;G47&amp;" | "&amp;H47&amp;" | "&amp;I47)</x:f>
      </x:c>
    </x:row>
    <x:row r="48" ht="33" customHeight="1">
      <x:c r="A48" s="3"/>
      <x:c r="B48" s="3"/>
      <x:c r="C48" s="3"/>
      <x:c r="D48" s="3"/>
      <x:c r="E48" s="3"/>
      <x:c r="F48" s="3"/>
      <x:c r="G48" s="3"/>
      <x:c r="H48" s="3"/>
      <x:c r="I48" s="3"/>
      <x:c r="J48" s="3"/>
      <x:c r="K48" s="3"/>
      <x:c r="L48" s="6"/>
      <x:c r="M48" s="6"/>
      <x:c r="N48" s="6"/>
      <x:c r="O48" s="6"/>
      <x:c r="P48" s="6"/>
      <x:c r="Q48" s="7"/>
      <x:c r="R48" s="7"/>
      <x:c r="S48" s="7"/>
      <x:c r="T48" s="7"/>
      <x:c r="U48" s="7"/>
      <x:c r="V48" s="7"/>
      <x:c r="W48" s="7"/>
      <x:c r="X48" s="7"/>
      <x:c r="Y48" s="7"/>
      <x:c r="Z48" s="7"/>
      <x:c r="AA48" s="7"/>
      <x:c r="AB48" s="7"/>
      <x:c r="AC48" s="7"/>
      <x:c r="AD48" s="7"/>
      <x:c r="AE48" s="3"/>
      <x:c r="AF48" s="3"/>
      <x:c r="AG48" s="3"/>
      <x:c r="AH48" s="3"/>
      <x:c r="AI48" s="3"/>
      <x:c r="AJ48" s="9" t="str">
        <x:f>IF(A48="","",A48&amp;"|"&amp;B48)</x:f>
      </x:c>
      <x:c r="AK48" s="9" t="str">
        <x:f>IF(A48="",IF(B48="","","MISSING_TEST_ID"),IF(B48="","MISSING_RUN_ID",IF(COUNTIFS($A$2:$A$501,A48,$B$2:$B$501,B48)&lt;&gt;1,"DUPLICATE_ID","OK")))</x:f>
      </x:c>
      <x:c r="AL48" s="9" t="str">
        <x:f>IF(A48="","",IF(AND(AK48="OK",J48="READY",F48&lt;&gt;"",G48&lt;&gt;"",K48&lt;&gt;"",OR(L48="PASS",L48="FAIL"),M48&lt;&gt;"",P48="social-publication-v2"),"YES","NO"))</x:f>
      </x:c>
      <x:c r="AM48" s="9" t="str">
        <x:f>IF(A48="","",IF(AND(AK48="OK",J48="READY",F48&lt;&gt;"",G48&lt;&gt;"",K48&lt;&gt;"",S48="OK",OR(R48="PASS",R48="FAIL")),"YES","NO"))</x:f>
      </x:c>
      <x:c r="AN48" s="9" t="str">
        <x:f>IF(A48="","",F48&amp;" | "&amp;G48&amp;" | "&amp;H48&amp;" | "&amp;I48)</x:f>
      </x:c>
    </x:row>
    <x:row r="49" ht="33" customHeight="1">
      <x:c r="A49" s="3"/>
      <x:c r="B49" s="3"/>
      <x:c r="C49" s="3"/>
      <x:c r="D49" s="3"/>
      <x:c r="E49" s="3"/>
      <x:c r="F49" s="3"/>
      <x:c r="G49" s="3"/>
      <x:c r="H49" s="3"/>
      <x:c r="I49" s="3"/>
      <x:c r="J49" s="3"/>
      <x:c r="K49" s="3"/>
      <x:c r="L49" s="6"/>
      <x:c r="M49" s="6"/>
      <x:c r="N49" s="6"/>
      <x:c r="O49" s="6"/>
      <x:c r="P49" s="6"/>
      <x:c r="Q49" s="7"/>
      <x:c r="R49" s="7"/>
      <x:c r="S49" s="7"/>
      <x:c r="T49" s="7"/>
      <x:c r="U49" s="7"/>
      <x:c r="V49" s="7"/>
      <x:c r="W49" s="7"/>
      <x:c r="X49" s="7"/>
      <x:c r="Y49" s="7"/>
      <x:c r="Z49" s="7"/>
      <x:c r="AA49" s="7"/>
      <x:c r="AB49" s="7"/>
      <x:c r="AC49" s="7"/>
      <x:c r="AD49" s="7"/>
      <x:c r="AE49" s="3"/>
      <x:c r="AF49" s="3"/>
      <x:c r="AG49" s="3"/>
      <x:c r="AH49" s="3"/>
      <x:c r="AI49" s="3"/>
      <x:c r="AJ49" s="9" t="str">
        <x:f>IF(A49="","",A49&amp;"|"&amp;B49)</x:f>
      </x:c>
      <x:c r="AK49" s="9" t="str">
        <x:f>IF(A49="",IF(B49="","","MISSING_TEST_ID"),IF(B49="","MISSING_RUN_ID",IF(COUNTIFS($A$2:$A$501,A49,$B$2:$B$501,B49)&lt;&gt;1,"DUPLICATE_ID","OK")))</x:f>
      </x:c>
      <x:c r="AL49" s="9" t="str">
        <x:f>IF(A49="","",IF(AND(AK49="OK",J49="READY",F49&lt;&gt;"",G49&lt;&gt;"",K49&lt;&gt;"",OR(L49="PASS",L49="FAIL"),M49&lt;&gt;"",P49="social-publication-v2"),"YES","NO"))</x:f>
      </x:c>
      <x:c r="AM49" s="9" t="str">
        <x:f>IF(A49="","",IF(AND(AK49="OK",J49="READY",F49&lt;&gt;"",G49&lt;&gt;"",K49&lt;&gt;"",S49="OK",OR(R49="PASS",R49="FAIL")),"YES","NO"))</x:f>
      </x:c>
      <x:c r="AN49" s="9" t="str">
        <x:f>IF(A49="","",F49&amp;" | "&amp;G49&amp;" | "&amp;H49&amp;" | "&amp;I49)</x:f>
      </x:c>
    </x:row>
    <x:row r="50" ht="33" customHeight="1">
      <x:c r="A50" s="3"/>
      <x:c r="B50" s="3"/>
      <x:c r="C50" s="3"/>
      <x:c r="D50" s="3"/>
      <x:c r="E50" s="3"/>
      <x:c r="F50" s="3"/>
      <x:c r="G50" s="3"/>
      <x:c r="H50" s="3"/>
      <x:c r="I50" s="3"/>
      <x:c r="J50" s="3"/>
      <x:c r="K50" s="3"/>
      <x:c r="L50" s="6"/>
      <x:c r="M50" s="6"/>
      <x:c r="N50" s="6"/>
      <x:c r="O50" s="6"/>
      <x:c r="P50" s="6"/>
      <x:c r="Q50" s="7"/>
      <x:c r="R50" s="7"/>
      <x:c r="S50" s="7"/>
      <x:c r="T50" s="7"/>
      <x:c r="U50" s="7"/>
      <x:c r="V50" s="7"/>
      <x:c r="W50" s="7"/>
      <x:c r="X50" s="7"/>
      <x:c r="Y50" s="7"/>
      <x:c r="Z50" s="7"/>
      <x:c r="AA50" s="7"/>
      <x:c r="AB50" s="7"/>
      <x:c r="AC50" s="7"/>
      <x:c r="AD50" s="7"/>
      <x:c r="AE50" s="3"/>
      <x:c r="AF50" s="3"/>
      <x:c r="AG50" s="3"/>
      <x:c r="AH50" s="3"/>
      <x:c r="AI50" s="3"/>
      <x:c r="AJ50" s="9" t="str">
        <x:f>IF(A50="","",A50&amp;"|"&amp;B50)</x:f>
      </x:c>
      <x:c r="AK50" s="9" t="str">
        <x:f>IF(A50="",IF(B50="","","MISSING_TEST_ID"),IF(B50="","MISSING_RUN_ID",IF(COUNTIFS($A$2:$A$501,A50,$B$2:$B$501,B50)&lt;&gt;1,"DUPLICATE_ID","OK")))</x:f>
      </x:c>
      <x:c r="AL50" s="9" t="str">
        <x:f>IF(A50="","",IF(AND(AK50="OK",J50="READY",F50&lt;&gt;"",G50&lt;&gt;"",K50&lt;&gt;"",OR(L50="PASS",L50="FAIL"),M50&lt;&gt;"",P50="social-publication-v2"),"YES","NO"))</x:f>
      </x:c>
      <x:c r="AM50" s="9" t="str">
        <x:f>IF(A50="","",IF(AND(AK50="OK",J50="READY",F50&lt;&gt;"",G50&lt;&gt;"",K50&lt;&gt;"",S50="OK",OR(R50="PASS",R50="FAIL")),"YES","NO"))</x:f>
      </x:c>
      <x:c r="AN50" s="9" t="str">
        <x:f>IF(A50="","",F50&amp;" | "&amp;G50&amp;" | "&amp;H50&amp;" | "&amp;I50)</x:f>
      </x:c>
    </x:row>
    <x:row r="51" ht="33" customHeight="1">
      <x:c r="A51" s="3"/>
      <x:c r="B51" s="3"/>
      <x:c r="C51" s="3"/>
      <x:c r="D51" s="3"/>
      <x:c r="E51" s="3"/>
      <x:c r="F51" s="3"/>
      <x:c r="G51" s="3"/>
      <x:c r="H51" s="3"/>
      <x:c r="I51" s="3"/>
      <x:c r="J51" s="3"/>
      <x:c r="K51" s="3"/>
      <x:c r="L51" s="6"/>
      <x:c r="M51" s="6"/>
      <x:c r="N51" s="6"/>
      <x:c r="O51" s="6"/>
      <x:c r="P51" s="6"/>
      <x:c r="Q51" s="7"/>
      <x:c r="R51" s="7"/>
      <x:c r="S51" s="7"/>
      <x:c r="T51" s="7"/>
      <x:c r="U51" s="7"/>
      <x:c r="V51" s="7"/>
      <x:c r="W51" s="7"/>
      <x:c r="X51" s="7"/>
      <x:c r="Y51" s="7"/>
      <x:c r="Z51" s="7"/>
      <x:c r="AA51" s="7"/>
      <x:c r="AB51" s="7"/>
      <x:c r="AC51" s="7"/>
      <x:c r="AD51" s="7"/>
      <x:c r="AE51" s="3"/>
      <x:c r="AF51" s="3"/>
      <x:c r="AG51" s="3"/>
      <x:c r="AH51" s="3"/>
      <x:c r="AI51" s="3"/>
      <x:c r="AJ51" s="9" t="str">
        <x:f>IF(A51="","",A51&amp;"|"&amp;B51)</x:f>
      </x:c>
      <x:c r="AK51" s="9" t="str">
        <x:f>IF(A51="",IF(B51="","","MISSING_TEST_ID"),IF(B51="","MISSING_RUN_ID",IF(COUNTIFS($A$2:$A$501,A51,$B$2:$B$501,B51)&lt;&gt;1,"DUPLICATE_ID","OK")))</x:f>
      </x:c>
      <x:c r="AL51" s="9" t="str">
        <x:f>IF(A51="","",IF(AND(AK51="OK",J51="READY",F51&lt;&gt;"",G51&lt;&gt;"",K51&lt;&gt;"",OR(L51="PASS",L51="FAIL"),M51&lt;&gt;"",P51="social-publication-v2"),"YES","NO"))</x:f>
      </x:c>
      <x:c r="AM51" s="9" t="str">
        <x:f>IF(A51="","",IF(AND(AK51="OK",J51="READY",F51&lt;&gt;"",G51&lt;&gt;"",K51&lt;&gt;"",S51="OK",OR(R51="PASS",R51="FAIL")),"YES","NO"))</x:f>
      </x:c>
      <x:c r="AN51" s="9" t="str">
        <x:f>IF(A51="","",F51&amp;" | "&amp;G51&amp;" | "&amp;H51&amp;" | "&amp;I51)</x:f>
      </x:c>
    </x:row>
    <x:row r="52" ht="33" customHeight="1">
      <x:c r="A52" s="3"/>
      <x:c r="B52" s="3"/>
      <x:c r="C52" s="3"/>
      <x:c r="D52" s="3"/>
      <x:c r="E52" s="3"/>
      <x:c r="F52" s="3"/>
      <x:c r="G52" s="3"/>
      <x:c r="H52" s="3"/>
      <x:c r="I52" s="3"/>
      <x:c r="J52" s="3"/>
      <x:c r="K52" s="3"/>
      <x:c r="L52" s="6"/>
      <x:c r="M52" s="6"/>
      <x:c r="N52" s="6"/>
      <x:c r="O52" s="6"/>
      <x:c r="P52" s="6"/>
      <x:c r="Q52" s="7"/>
      <x:c r="R52" s="7"/>
      <x:c r="S52" s="7"/>
      <x:c r="T52" s="7"/>
      <x:c r="U52" s="7"/>
      <x:c r="V52" s="7"/>
      <x:c r="W52" s="7"/>
      <x:c r="X52" s="7"/>
      <x:c r="Y52" s="7"/>
      <x:c r="Z52" s="7"/>
      <x:c r="AA52" s="7"/>
      <x:c r="AB52" s="7"/>
      <x:c r="AC52" s="7"/>
      <x:c r="AD52" s="7"/>
      <x:c r="AE52" s="3"/>
      <x:c r="AF52" s="3"/>
      <x:c r="AG52" s="3"/>
      <x:c r="AH52" s="3"/>
      <x:c r="AI52" s="3"/>
      <x:c r="AJ52" s="9" t="str">
        <x:f>IF(A52="","",A52&amp;"|"&amp;B52)</x:f>
      </x:c>
      <x:c r="AK52" s="9" t="str">
        <x:f>IF(A52="",IF(B52="","","MISSING_TEST_ID"),IF(B52="","MISSING_RUN_ID",IF(COUNTIFS($A$2:$A$501,A52,$B$2:$B$501,B52)&lt;&gt;1,"DUPLICATE_ID","OK")))</x:f>
      </x:c>
      <x:c r="AL52" s="9" t="str">
        <x:f>IF(A52="","",IF(AND(AK52="OK",J52="READY",F52&lt;&gt;"",G52&lt;&gt;"",K52&lt;&gt;"",OR(L52="PASS",L52="FAIL"),M52&lt;&gt;"",P52="social-publication-v2"),"YES","NO"))</x:f>
      </x:c>
      <x:c r="AM52" s="9" t="str">
        <x:f>IF(A52="","",IF(AND(AK52="OK",J52="READY",F52&lt;&gt;"",G52&lt;&gt;"",K52&lt;&gt;"",S52="OK",OR(R52="PASS",R52="FAIL")),"YES","NO"))</x:f>
      </x:c>
      <x:c r="AN52" s="9" t="str">
        <x:f>IF(A52="","",F52&amp;" | "&amp;G52&amp;" | "&amp;H52&amp;" | "&amp;I52)</x:f>
      </x:c>
    </x:row>
    <x:row r="53" ht="33" customHeight="1">
      <x:c r="A53" s="3"/>
      <x:c r="B53" s="3"/>
      <x:c r="C53" s="3"/>
      <x:c r="D53" s="3"/>
      <x:c r="E53" s="3"/>
      <x:c r="F53" s="3"/>
      <x:c r="G53" s="3"/>
      <x:c r="H53" s="3"/>
      <x:c r="I53" s="3"/>
      <x:c r="J53" s="3"/>
      <x:c r="K53" s="3"/>
      <x:c r="L53" s="6"/>
      <x:c r="M53" s="6"/>
      <x:c r="N53" s="6"/>
      <x:c r="O53" s="6"/>
      <x:c r="P53" s="6"/>
      <x:c r="Q53" s="7"/>
      <x:c r="R53" s="7"/>
      <x:c r="S53" s="7"/>
      <x:c r="T53" s="7"/>
      <x:c r="U53" s="7"/>
      <x:c r="V53" s="7"/>
      <x:c r="W53" s="7"/>
      <x:c r="X53" s="7"/>
      <x:c r="Y53" s="7"/>
      <x:c r="Z53" s="7"/>
      <x:c r="AA53" s="7"/>
      <x:c r="AB53" s="7"/>
      <x:c r="AC53" s="7"/>
      <x:c r="AD53" s="7"/>
      <x:c r="AE53" s="3"/>
      <x:c r="AF53" s="3"/>
      <x:c r="AG53" s="3"/>
      <x:c r="AH53" s="3"/>
      <x:c r="AI53" s="3"/>
      <x:c r="AJ53" s="9" t="str">
        <x:f>IF(A53="","",A53&amp;"|"&amp;B53)</x:f>
      </x:c>
      <x:c r="AK53" s="9" t="str">
        <x:f>IF(A53="",IF(B53="","","MISSING_TEST_ID"),IF(B53="","MISSING_RUN_ID",IF(COUNTIFS($A$2:$A$501,A53,$B$2:$B$501,B53)&lt;&gt;1,"DUPLICATE_ID","OK")))</x:f>
      </x:c>
      <x:c r="AL53" s="9" t="str">
        <x:f>IF(A53="","",IF(AND(AK53="OK",J53="READY",F53&lt;&gt;"",G53&lt;&gt;"",K53&lt;&gt;"",OR(L53="PASS",L53="FAIL"),M53&lt;&gt;"",P53="social-publication-v2"),"YES","NO"))</x:f>
      </x:c>
      <x:c r="AM53" s="9" t="str">
        <x:f>IF(A53="","",IF(AND(AK53="OK",J53="READY",F53&lt;&gt;"",G53&lt;&gt;"",K53&lt;&gt;"",S53="OK",OR(R53="PASS",R53="FAIL")),"YES","NO"))</x:f>
      </x:c>
      <x:c r="AN53" s="9" t="str">
        <x:f>IF(A53="","",F53&amp;" | "&amp;G53&amp;" | "&amp;H53&amp;" | "&amp;I53)</x:f>
      </x:c>
    </x:row>
    <x:row r="54" ht="33" customHeight="1">
      <x:c r="A54" s="3"/>
      <x:c r="B54" s="3"/>
      <x:c r="C54" s="3"/>
      <x:c r="D54" s="3"/>
      <x:c r="E54" s="3"/>
      <x:c r="F54" s="3"/>
      <x:c r="G54" s="3"/>
      <x:c r="H54" s="3"/>
      <x:c r="I54" s="3"/>
      <x:c r="J54" s="3"/>
      <x:c r="K54" s="3"/>
      <x:c r="L54" s="6"/>
      <x:c r="M54" s="6"/>
      <x:c r="N54" s="6"/>
      <x:c r="O54" s="6"/>
      <x:c r="P54" s="6"/>
      <x:c r="Q54" s="7"/>
      <x:c r="R54" s="7"/>
      <x:c r="S54" s="7"/>
      <x:c r="T54" s="7"/>
      <x:c r="U54" s="7"/>
      <x:c r="V54" s="7"/>
      <x:c r="W54" s="7"/>
      <x:c r="X54" s="7"/>
      <x:c r="Y54" s="7"/>
      <x:c r="Z54" s="7"/>
      <x:c r="AA54" s="7"/>
      <x:c r="AB54" s="7"/>
      <x:c r="AC54" s="7"/>
      <x:c r="AD54" s="7"/>
      <x:c r="AE54" s="3"/>
      <x:c r="AF54" s="3"/>
      <x:c r="AG54" s="3"/>
      <x:c r="AH54" s="3"/>
      <x:c r="AI54" s="3"/>
      <x:c r="AJ54" s="9" t="str">
        <x:f>IF(A54="","",A54&amp;"|"&amp;B54)</x:f>
      </x:c>
      <x:c r="AK54" s="9" t="str">
        <x:f>IF(A54="",IF(B54="","","MISSING_TEST_ID"),IF(B54="","MISSING_RUN_ID",IF(COUNTIFS($A$2:$A$501,A54,$B$2:$B$501,B54)&lt;&gt;1,"DUPLICATE_ID","OK")))</x:f>
      </x:c>
      <x:c r="AL54" s="9" t="str">
        <x:f>IF(A54="","",IF(AND(AK54="OK",J54="READY",F54&lt;&gt;"",G54&lt;&gt;"",K54&lt;&gt;"",OR(L54="PASS",L54="FAIL"),M54&lt;&gt;"",P54="social-publication-v2"),"YES","NO"))</x:f>
      </x:c>
      <x:c r="AM54" s="9" t="str">
        <x:f>IF(A54="","",IF(AND(AK54="OK",J54="READY",F54&lt;&gt;"",G54&lt;&gt;"",K54&lt;&gt;"",S54="OK",OR(R54="PASS",R54="FAIL")),"YES","NO"))</x:f>
      </x:c>
      <x:c r="AN54" s="9" t="str">
        <x:f>IF(A54="","",F54&amp;" | "&amp;G54&amp;" | "&amp;H54&amp;" | "&amp;I54)</x:f>
      </x:c>
    </x:row>
    <x:row r="55" ht="33" customHeight="1">
      <x:c r="A55" s="3"/>
      <x:c r="B55" s="3"/>
      <x:c r="C55" s="3"/>
      <x:c r="D55" s="3"/>
      <x:c r="E55" s="3"/>
      <x:c r="F55" s="3"/>
      <x:c r="G55" s="3"/>
      <x:c r="H55" s="3"/>
      <x:c r="I55" s="3"/>
      <x:c r="J55" s="3"/>
      <x:c r="K55" s="3"/>
      <x:c r="L55" s="6"/>
      <x:c r="M55" s="6"/>
      <x:c r="N55" s="6"/>
      <x:c r="O55" s="6"/>
      <x:c r="P55" s="6"/>
      <x:c r="Q55" s="7"/>
      <x:c r="R55" s="7"/>
      <x:c r="S55" s="7"/>
      <x:c r="T55" s="7"/>
      <x:c r="U55" s="7"/>
      <x:c r="V55" s="7"/>
      <x:c r="W55" s="7"/>
      <x:c r="X55" s="7"/>
      <x:c r="Y55" s="7"/>
      <x:c r="Z55" s="7"/>
      <x:c r="AA55" s="7"/>
      <x:c r="AB55" s="7"/>
      <x:c r="AC55" s="7"/>
      <x:c r="AD55" s="7"/>
      <x:c r="AE55" s="3"/>
      <x:c r="AF55" s="3"/>
      <x:c r="AG55" s="3"/>
      <x:c r="AH55" s="3"/>
      <x:c r="AI55" s="3"/>
      <x:c r="AJ55" s="9" t="str">
        <x:f>IF(A55="","",A55&amp;"|"&amp;B55)</x:f>
      </x:c>
      <x:c r="AK55" s="9" t="str">
        <x:f>IF(A55="",IF(B55="","","MISSING_TEST_ID"),IF(B55="","MISSING_RUN_ID",IF(COUNTIFS($A$2:$A$501,A55,$B$2:$B$501,B55)&lt;&gt;1,"DUPLICATE_ID","OK")))</x:f>
      </x:c>
      <x:c r="AL55" s="9" t="str">
        <x:f>IF(A55="","",IF(AND(AK55="OK",J55="READY",F55&lt;&gt;"",G55&lt;&gt;"",K55&lt;&gt;"",OR(L55="PASS",L55="FAIL"),M55&lt;&gt;"",P55="social-publication-v2"),"YES","NO"))</x:f>
      </x:c>
      <x:c r="AM55" s="9" t="str">
        <x:f>IF(A55="","",IF(AND(AK55="OK",J55="READY",F55&lt;&gt;"",G55&lt;&gt;"",K55&lt;&gt;"",S55="OK",OR(R55="PASS",R55="FAIL")),"YES","NO"))</x:f>
      </x:c>
      <x:c r="AN55" s="9" t="str">
        <x:f>IF(A55="","",F55&amp;" | "&amp;G55&amp;" | "&amp;H55&amp;" | "&amp;I55)</x:f>
      </x:c>
    </x:row>
    <x:row r="56" ht="33" customHeight="1">
      <x:c r="A56" s="3"/>
      <x:c r="B56" s="3"/>
      <x:c r="C56" s="3"/>
      <x:c r="D56" s="3"/>
      <x:c r="E56" s="3"/>
      <x:c r="F56" s="3"/>
      <x:c r="G56" s="3"/>
      <x:c r="H56" s="3"/>
      <x:c r="I56" s="3"/>
      <x:c r="J56" s="3"/>
      <x:c r="K56" s="3"/>
      <x:c r="L56" s="6"/>
      <x:c r="M56" s="6"/>
      <x:c r="N56" s="6"/>
      <x:c r="O56" s="6"/>
      <x:c r="P56" s="6"/>
      <x:c r="Q56" s="7"/>
      <x:c r="R56" s="7"/>
      <x:c r="S56" s="7"/>
      <x:c r="T56" s="7"/>
      <x:c r="U56" s="7"/>
      <x:c r="V56" s="7"/>
      <x:c r="W56" s="7"/>
      <x:c r="X56" s="7"/>
      <x:c r="Y56" s="7"/>
      <x:c r="Z56" s="7"/>
      <x:c r="AA56" s="7"/>
      <x:c r="AB56" s="7"/>
      <x:c r="AC56" s="7"/>
      <x:c r="AD56" s="7"/>
      <x:c r="AE56" s="3"/>
      <x:c r="AF56" s="3"/>
      <x:c r="AG56" s="3"/>
      <x:c r="AH56" s="3"/>
      <x:c r="AI56" s="3"/>
      <x:c r="AJ56" s="9" t="str">
        <x:f>IF(A56="","",A56&amp;"|"&amp;B56)</x:f>
      </x:c>
      <x:c r="AK56" s="9" t="str">
        <x:f>IF(A56="",IF(B56="","","MISSING_TEST_ID"),IF(B56="","MISSING_RUN_ID",IF(COUNTIFS($A$2:$A$501,A56,$B$2:$B$501,B56)&lt;&gt;1,"DUPLICATE_ID","OK")))</x:f>
      </x:c>
      <x:c r="AL56" s="9" t="str">
        <x:f>IF(A56="","",IF(AND(AK56="OK",J56="READY",F56&lt;&gt;"",G56&lt;&gt;"",K56&lt;&gt;"",OR(L56="PASS",L56="FAIL"),M56&lt;&gt;"",P56="social-publication-v2"),"YES","NO"))</x:f>
      </x:c>
      <x:c r="AM56" s="9" t="str">
        <x:f>IF(A56="","",IF(AND(AK56="OK",J56="READY",F56&lt;&gt;"",G56&lt;&gt;"",K56&lt;&gt;"",S56="OK",OR(R56="PASS",R56="FAIL")),"YES","NO"))</x:f>
      </x:c>
      <x:c r="AN56" s="9" t="str">
        <x:f>IF(A56="","",F56&amp;" | "&amp;G56&amp;" | "&amp;H56&amp;" | "&amp;I56)</x:f>
      </x:c>
    </x:row>
    <x:row r="57" ht="33" customHeight="1">
      <x:c r="A57" s="3"/>
      <x:c r="B57" s="3"/>
      <x:c r="C57" s="3"/>
      <x:c r="D57" s="3"/>
      <x:c r="E57" s="3"/>
      <x:c r="F57" s="3"/>
      <x:c r="G57" s="3"/>
      <x:c r="H57" s="3"/>
      <x:c r="I57" s="3"/>
      <x:c r="J57" s="3"/>
      <x:c r="K57" s="3"/>
      <x:c r="L57" s="6"/>
      <x:c r="M57" s="6"/>
      <x:c r="N57" s="6"/>
      <x:c r="O57" s="6"/>
      <x:c r="P57" s="6"/>
      <x:c r="Q57" s="7"/>
      <x:c r="R57" s="7"/>
      <x:c r="S57" s="7"/>
      <x:c r="T57" s="7"/>
      <x:c r="U57" s="7"/>
      <x:c r="V57" s="7"/>
      <x:c r="W57" s="7"/>
      <x:c r="X57" s="7"/>
      <x:c r="Y57" s="7"/>
      <x:c r="Z57" s="7"/>
      <x:c r="AA57" s="7"/>
      <x:c r="AB57" s="7"/>
      <x:c r="AC57" s="7"/>
      <x:c r="AD57" s="7"/>
      <x:c r="AE57" s="3"/>
      <x:c r="AF57" s="3"/>
      <x:c r="AG57" s="3"/>
      <x:c r="AH57" s="3"/>
      <x:c r="AI57" s="3"/>
      <x:c r="AJ57" s="9" t="str">
        <x:f>IF(A57="","",A57&amp;"|"&amp;B57)</x:f>
      </x:c>
      <x:c r="AK57" s="9" t="str">
        <x:f>IF(A57="",IF(B57="","","MISSING_TEST_ID"),IF(B57="","MISSING_RUN_ID",IF(COUNTIFS($A$2:$A$501,A57,$B$2:$B$501,B57)&lt;&gt;1,"DUPLICATE_ID","OK")))</x:f>
      </x:c>
      <x:c r="AL57" s="9" t="str">
        <x:f>IF(A57="","",IF(AND(AK57="OK",J57="READY",F57&lt;&gt;"",G57&lt;&gt;"",K57&lt;&gt;"",OR(L57="PASS",L57="FAIL"),M57&lt;&gt;"",P57="social-publication-v2"),"YES","NO"))</x:f>
      </x:c>
      <x:c r="AM57" s="9" t="str">
        <x:f>IF(A57="","",IF(AND(AK57="OK",J57="READY",F57&lt;&gt;"",G57&lt;&gt;"",K57&lt;&gt;"",S57="OK",OR(R57="PASS",R57="FAIL")),"YES","NO"))</x:f>
      </x:c>
      <x:c r="AN57" s="9" t="str">
        <x:f>IF(A57="","",F57&amp;" | "&amp;G57&amp;" | "&amp;H57&amp;" | "&amp;I57)</x:f>
      </x:c>
    </x:row>
    <x:row r="58" ht="33" customHeight="1">
      <x:c r="A58" s="3"/>
      <x:c r="B58" s="3"/>
      <x:c r="C58" s="3"/>
      <x:c r="D58" s="3"/>
      <x:c r="E58" s="3"/>
      <x:c r="F58" s="3"/>
      <x:c r="G58" s="3"/>
      <x:c r="H58" s="3"/>
      <x:c r="I58" s="3"/>
      <x:c r="J58" s="3"/>
      <x:c r="K58" s="3"/>
      <x:c r="L58" s="6"/>
      <x:c r="M58" s="6"/>
      <x:c r="N58" s="6"/>
      <x:c r="O58" s="6"/>
      <x:c r="P58" s="6"/>
      <x:c r="Q58" s="7"/>
      <x:c r="R58" s="7"/>
      <x:c r="S58" s="7"/>
      <x:c r="T58" s="7"/>
      <x:c r="U58" s="7"/>
      <x:c r="V58" s="7"/>
      <x:c r="W58" s="7"/>
      <x:c r="X58" s="7"/>
      <x:c r="Y58" s="7"/>
      <x:c r="Z58" s="7"/>
      <x:c r="AA58" s="7"/>
      <x:c r="AB58" s="7"/>
      <x:c r="AC58" s="7"/>
      <x:c r="AD58" s="7"/>
      <x:c r="AE58" s="3"/>
      <x:c r="AF58" s="3"/>
      <x:c r="AG58" s="3"/>
      <x:c r="AH58" s="3"/>
      <x:c r="AI58" s="3"/>
      <x:c r="AJ58" s="9" t="str">
        <x:f>IF(A58="","",A58&amp;"|"&amp;B58)</x:f>
      </x:c>
      <x:c r="AK58" s="9" t="str">
        <x:f>IF(A58="",IF(B58="","","MISSING_TEST_ID"),IF(B58="","MISSING_RUN_ID",IF(COUNTIFS($A$2:$A$501,A58,$B$2:$B$501,B58)&lt;&gt;1,"DUPLICATE_ID","OK")))</x:f>
      </x:c>
      <x:c r="AL58" s="9" t="str">
        <x:f>IF(A58="","",IF(AND(AK58="OK",J58="READY",F58&lt;&gt;"",G58&lt;&gt;"",K58&lt;&gt;"",OR(L58="PASS",L58="FAIL"),M58&lt;&gt;"",P58="social-publication-v2"),"YES","NO"))</x:f>
      </x:c>
      <x:c r="AM58" s="9" t="str">
        <x:f>IF(A58="","",IF(AND(AK58="OK",J58="READY",F58&lt;&gt;"",G58&lt;&gt;"",K58&lt;&gt;"",S58="OK",OR(R58="PASS",R58="FAIL")),"YES","NO"))</x:f>
      </x:c>
      <x:c r="AN58" s="9" t="str">
        <x:f>IF(A58="","",F58&amp;" | "&amp;G58&amp;" | "&amp;H58&amp;" | "&amp;I58)</x:f>
      </x:c>
    </x:row>
    <x:row r="59" ht="33" customHeight="1">
      <x:c r="A59" s="3"/>
      <x:c r="B59" s="3"/>
      <x:c r="C59" s="3"/>
      <x:c r="D59" s="3"/>
      <x:c r="E59" s="3"/>
      <x:c r="F59" s="3"/>
      <x:c r="G59" s="3"/>
      <x:c r="H59" s="3"/>
      <x:c r="I59" s="3"/>
      <x:c r="J59" s="3"/>
      <x:c r="K59" s="3"/>
      <x:c r="L59" s="6"/>
      <x:c r="M59" s="6"/>
      <x:c r="N59" s="6"/>
      <x:c r="O59" s="6"/>
      <x:c r="P59" s="6"/>
      <x:c r="Q59" s="7"/>
      <x:c r="R59" s="7"/>
      <x:c r="S59" s="7"/>
      <x:c r="T59" s="7"/>
      <x:c r="U59" s="7"/>
      <x:c r="V59" s="7"/>
      <x:c r="W59" s="7"/>
      <x:c r="X59" s="7"/>
      <x:c r="Y59" s="7"/>
      <x:c r="Z59" s="7"/>
      <x:c r="AA59" s="7"/>
      <x:c r="AB59" s="7"/>
      <x:c r="AC59" s="7"/>
      <x:c r="AD59" s="7"/>
      <x:c r="AE59" s="3"/>
      <x:c r="AF59" s="3"/>
      <x:c r="AG59" s="3"/>
      <x:c r="AH59" s="3"/>
      <x:c r="AI59" s="3"/>
      <x:c r="AJ59" s="9" t="str">
        <x:f>IF(A59="","",A59&amp;"|"&amp;B59)</x:f>
      </x:c>
      <x:c r="AK59" s="9" t="str">
        <x:f>IF(A59="",IF(B59="","","MISSING_TEST_ID"),IF(B59="","MISSING_RUN_ID",IF(COUNTIFS($A$2:$A$501,A59,$B$2:$B$501,B59)&lt;&gt;1,"DUPLICATE_ID","OK")))</x:f>
      </x:c>
      <x:c r="AL59" s="9" t="str">
        <x:f>IF(A59="","",IF(AND(AK59="OK",J59="READY",F59&lt;&gt;"",G59&lt;&gt;"",K59&lt;&gt;"",OR(L59="PASS",L59="FAIL"),M59&lt;&gt;"",P59="social-publication-v2"),"YES","NO"))</x:f>
      </x:c>
      <x:c r="AM59" s="9" t="str">
        <x:f>IF(A59="","",IF(AND(AK59="OK",J59="READY",F59&lt;&gt;"",G59&lt;&gt;"",K59&lt;&gt;"",S59="OK",OR(R59="PASS",R59="FAIL")),"YES","NO"))</x:f>
      </x:c>
      <x:c r="AN59" s="9" t="str">
        <x:f>IF(A59="","",F59&amp;" | "&amp;G59&amp;" | "&amp;H59&amp;" | "&amp;I59)</x:f>
      </x:c>
    </x:row>
    <x:row r="60" ht="33" customHeight="1">
      <x:c r="A60" s="3"/>
      <x:c r="B60" s="3"/>
      <x:c r="C60" s="3"/>
      <x:c r="D60" s="3"/>
      <x:c r="E60" s="3"/>
      <x:c r="F60" s="3"/>
      <x:c r="G60" s="3"/>
      <x:c r="H60" s="3"/>
      <x:c r="I60" s="3"/>
      <x:c r="J60" s="3"/>
      <x:c r="K60" s="3"/>
      <x:c r="L60" s="6"/>
      <x:c r="M60" s="6"/>
      <x:c r="N60" s="6"/>
      <x:c r="O60" s="6"/>
      <x:c r="P60" s="6"/>
      <x:c r="Q60" s="7"/>
      <x:c r="R60" s="7"/>
      <x:c r="S60" s="7"/>
      <x:c r="T60" s="7"/>
      <x:c r="U60" s="7"/>
      <x:c r="V60" s="7"/>
      <x:c r="W60" s="7"/>
      <x:c r="X60" s="7"/>
      <x:c r="Y60" s="7"/>
      <x:c r="Z60" s="7"/>
      <x:c r="AA60" s="7"/>
      <x:c r="AB60" s="7"/>
      <x:c r="AC60" s="7"/>
      <x:c r="AD60" s="7"/>
      <x:c r="AE60" s="3"/>
      <x:c r="AF60" s="3"/>
      <x:c r="AG60" s="3"/>
      <x:c r="AH60" s="3"/>
      <x:c r="AI60" s="3"/>
      <x:c r="AJ60" s="9" t="str">
        <x:f>IF(A60="","",A60&amp;"|"&amp;B60)</x:f>
      </x:c>
      <x:c r="AK60" s="9" t="str">
        <x:f>IF(A60="",IF(B60="","","MISSING_TEST_ID"),IF(B60="","MISSING_RUN_ID",IF(COUNTIFS($A$2:$A$501,A60,$B$2:$B$501,B60)&lt;&gt;1,"DUPLICATE_ID","OK")))</x:f>
      </x:c>
      <x:c r="AL60" s="9" t="str">
        <x:f>IF(A60="","",IF(AND(AK60="OK",J60="READY",F60&lt;&gt;"",G60&lt;&gt;"",K60&lt;&gt;"",OR(L60="PASS",L60="FAIL"),M60&lt;&gt;"",P60="social-publication-v2"),"YES","NO"))</x:f>
      </x:c>
      <x:c r="AM60" s="9" t="str">
        <x:f>IF(A60="","",IF(AND(AK60="OK",J60="READY",F60&lt;&gt;"",G60&lt;&gt;"",K60&lt;&gt;"",S60="OK",OR(R60="PASS",R60="FAIL")),"YES","NO"))</x:f>
      </x:c>
      <x:c r="AN60" s="9" t="str">
        <x:f>IF(A60="","",F60&amp;" | "&amp;G60&amp;" | "&amp;H60&amp;" | "&amp;I60)</x:f>
      </x:c>
    </x:row>
    <x:row r="61" ht="33" customHeight="1">
      <x:c r="A61" s="3"/>
      <x:c r="B61" s="3"/>
      <x:c r="C61" s="3"/>
      <x:c r="D61" s="3"/>
      <x:c r="E61" s="3"/>
      <x:c r="F61" s="3"/>
      <x:c r="G61" s="3"/>
      <x:c r="H61" s="3"/>
      <x:c r="I61" s="3"/>
      <x:c r="J61" s="3"/>
      <x:c r="K61" s="3"/>
      <x:c r="L61" s="6"/>
      <x:c r="M61" s="6"/>
      <x:c r="N61" s="6"/>
      <x:c r="O61" s="6"/>
      <x:c r="P61" s="6"/>
      <x:c r="Q61" s="7"/>
      <x:c r="R61" s="7"/>
      <x:c r="S61" s="7"/>
      <x:c r="T61" s="7"/>
      <x:c r="U61" s="7"/>
      <x:c r="V61" s="7"/>
      <x:c r="W61" s="7"/>
      <x:c r="X61" s="7"/>
      <x:c r="Y61" s="7"/>
      <x:c r="Z61" s="7"/>
      <x:c r="AA61" s="7"/>
      <x:c r="AB61" s="7"/>
      <x:c r="AC61" s="7"/>
      <x:c r="AD61" s="7"/>
      <x:c r="AE61" s="3"/>
      <x:c r="AF61" s="3"/>
      <x:c r="AG61" s="3"/>
      <x:c r="AH61" s="3"/>
      <x:c r="AI61" s="3"/>
      <x:c r="AJ61" s="9" t="str">
        <x:f>IF(A61="","",A61&amp;"|"&amp;B61)</x:f>
      </x:c>
      <x:c r="AK61" s="9" t="str">
        <x:f>IF(A61="",IF(B61="","","MISSING_TEST_ID"),IF(B61="","MISSING_RUN_ID",IF(COUNTIFS($A$2:$A$501,A61,$B$2:$B$501,B61)&lt;&gt;1,"DUPLICATE_ID","OK")))</x:f>
      </x:c>
      <x:c r="AL61" s="9" t="str">
        <x:f>IF(A61="","",IF(AND(AK61="OK",J61="READY",F61&lt;&gt;"",G61&lt;&gt;"",K61&lt;&gt;"",OR(L61="PASS",L61="FAIL"),M61&lt;&gt;"",P61="social-publication-v2"),"YES","NO"))</x:f>
      </x:c>
      <x:c r="AM61" s="9" t="str">
        <x:f>IF(A61="","",IF(AND(AK61="OK",J61="READY",F61&lt;&gt;"",G61&lt;&gt;"",K61&lt;&gt;"",S61="OK",OR(R61="PASS",R61="FAIL")),"YES","NO"))</x:f>
      </x:c>
      <x:c r="AN61" s="9" t="str">
        <x:f>IF(A61="","",F61&amp;" | "&amp;G61&amp;" | "&amp;H61&amp;" | "&amp;I61)</x:f>
      </x:c>
    </x:row>
    <x:row r="62" ht="33" customHeight="1">
      <x:c r="A62" s="3"/>
      <x:c r="B62" s="3"/>
      <x:c r="C62" s="3"/>
      <x:c r="D62" s="3"/>
      <x:c r="E62" s="3"/>
      <x:c r="F62" s="3"/>
      <x:c r="G62" s="3"/>
      <x:c r="H62" s="3"/>
      <x:c r="I62" s="3"/>
      <x:c r="J62" s="3"/>
      <x:c r="K62" s="3"/>
      <x:c r="L62" s="6"/>
      <x:c r="M62" s="6"/>
      <x:c r="N62" s="6"/>
      <x:c r="O62" s="6"/>
      <x:c r="P62" s="6"/>
      <x:c r="Q62" s="7"/>
      <x:c r="R62" s="7"/>
      <x:c r="S62" s="7"/>
      <x:c r="T62" s="7"/>
      <x:c r="U62" s="7"/>
      <x:c r="V62" s="7"/>
      <x:c r="W62" s="7"/>
      <x:c r="X62" s="7"/>
      <x:c r="Y62" s="7"/>
      <x:c r="Z62" s="7"/>
      <x:c r="AA62" s="7"/>
      <x:c r="AB62" s="7"/>
      <x:c r="AC62" s="7"/>
      <x:c r="AD62" s="7"/>
      <x:c r="AE62" s="3"/>
      <x:c r="AF62" s="3"/>
      <x:c r="AG62" s="3"/>
      <x:c r="AH62" s="3"/>
      <x:c r="AI62" s="3"/>
      <x:c r="AJ62" s="9" t="str">
        <x:f>IF(A62="","",A62&amp;"|"&amp;B62)</x:f>
      </x:c>
      <x:c r="AK62" s="9" t="str">
        <x:f>IF(A62="",IF(B62="","","MISSING_TEST_ID"),IF(B62="","MISSING_RUN_ID",IF(COUNTIFS($A$2:$A$501,A62,$B$2:$B$501,B62)&lt;&gt;1,"DUPLICATE_ID","OK")))</x:f>
      </x:c>
      <x:c r="AL62" s="9" t="str">
        <x:f>IF(A62="","",IF(AND(AK62="OK",J62="READY",F62&lt;&gt;"",G62&lt;&gt;"",K62&lt;&gt;"",OR(L62="PASS",L62="FAIL"),M62&lt;&gt;"",P62="social-publication-v2"),"YES","NO"))</x:f>
      </x:c>
      <x:c r="AM62" s="9" t="str">
        <x:f>IF(A62="","",IF(AND(AK62="OK",J62="READY",F62&lt;&gt;"",G62&lt;&gt;"",K62&lt;&gt;"",S62="OK",OR(R62="PASS",R62="FAIL")),"YES","NO"))</x:f>
      </x:c>
      <x:c r="AN62" s="9" t="str">
        <x:f>IF(A62="","",F62&amp;" | "&amp;G62&amp;" | "&amp;H62&amp;" | "&amp;I62)</x:f>
      </x:c>
    </x:row>
    <x:row r="63" ht="33" customHeight="1">
      <x:c r="A63" s="3"/>
      <x:c r="B63" s="3"/>
      <x:c r="C63" s="3"/>
      <x:c r="D63" s="3"/>
      <x:c r="E63" s="3"/>
      <x:c r="F63" s="3"/>
      <x:c r="G63" s="3"/>
      <x:c r="H63" s="3"/>
      <x:c r="I63" s="3"/>
      <x:c r="J63" s="3"/>
      <x:c r="K63" s="3"/>
      <x:c r="L63" s="6"/>
      <x:c r="M63" s="6"/>
      <x:c r="N63" s="6"/>
      <x:c r="O63" s="6"/>
      <x:c r="P63" s="6"/>
      <x:c r="Q63" s="7"/>
      <x:c r="R63" s="7"/>
      <x:c r="S63" s="7"/>
      <x:c r="T63" s="7"/>
      <x:c r="U63" s="7"/>
      <x:c r="V63" s="7"/>
      <x:c r="W63" s="7"/>
      <x:c r="X63" s="7"/>
      <x:c r="Y63" s="7"/>
      <x:c r="Z63" s="7"/>
      <x:c r="AA63" s="7"/>
      <x:c r="AB63" s="7"/>
      <x:c r="AC63" s="7"/>
      <x:c r="AD63" s="7"/>
      <x:c r="AE63" s="3"/>
      <x:c r="AF63" s="3"/>
      <x:c r="AG63" s="3"/>
      <x:c r="AH63" s="3"/>
      <x:c r="AI63" s="3"/>
      <x:c r="AJ63" s="9" t="str">
        <x:f>IF(A63="","",A63&amp;"|"&amp;B63)</x:f>
      </x:c>
      <x:c r="AK63" s="9" t="str">
        <x:f>IF(A63="",IF(B63="","","MISSING_TEST_ID"),IF(B63="","MISSING_RUN_ID",IF(COUNTIFS($A$2:$A$501,A63,$B$2:$B$501,B63)&lt;&gt;1,"DUPLICATE_ID","OK")))</x:f>
      </x:c>
      <x:c r="AL63" s="9" t="str">
        <x:f>IF(A63="","",IF(AND(AK63="OK",J63="READY",F63&lt;&gt;"",G63&lt;&gt;"",K63&lt;&gt;"",OR(L63="PASS",L63="FAIL"),M63&lt;&gt;"",P63="social-publication-v2"),"YES","NO"))</x:f>
      </x:c>
      <x:c r="AM63" s="9" t="str">
        <x:f>IF(A63="","",IF(AND(AK63="OK",J63="READY",F63&lt;&gt;"",G63&lt;&gt;"",K63&lt;&gt;"",S63="OK",OR(R63="PASS",R63="FAIL")),"YES","NO"))</x:f>
      </x:c>
      <x:c r="AN63" s="9" t="str">
        <x:f>IF(A63="","",F63&amp;" | "&amp;G63&amp;" | "&amp;H63&amp;" | "&amp;I63)</x:f>
      </x:c>
    </x:row>
    <x:row r="64" ht="33" customHeight="1">
      <x:c r="A64" s="3"/>
      <x:c r="B64" s="3"/>
      <x:c r="C64" s="3"/>
      <x:c r="D64" s="3"/>
      <x:c r="E64" s="3"/>
      <x:c r="F64" s="3"/>
      <x:c r="G64" s="3"/>
      <x:c r="H64" s="3"/>
      <x:c r="I64" s="3"/>
      <x:c r="J64" s="3"/>
      <x:c r="K64" s="3"/>
      <x:c r="L64" s="6"/>
      <x:c r="M64" s="6"/>
      <x:c r="N64" s="6"/>
      <x:c r="O64" s="6"/>
      <x:c r="P64" s="6"/>
      <x:c r="Q64" s="7"/>
      <x:c r="R64" s="7"/>
      <x:c r="S64" s="7"/>
      <x:c r="T64" s="7"/>
      <x:c r="U64" s="7"/>
      <x:c r="V64" s="7"/>
      <x:c r="W64" s="7"/>
      <x:c r="X64" s="7"/>
      <x:c r="Y64" s="7"/>
      <x:c r="Z64" s="7"/>
      <x:c r="AA64" s="7"/>
      <x:c r="AB64" s="7"/>
      <x:c r="AC64" s="7"/>
      <x:c r="AD64" s="7"/>
      <x:c r="AE64" s="3"/>
      <x:c r="AF64" s="3"/>
      <x:c r="AG64" s="3"/>
      <x:c r="AH64" s="3"/>
      <x:c r="AI64" s="3"/>
      <x:c r="AJ64" s="9" t="str">
        <x:f>IF(A64="","",A64&amp;"|"&amp;B64)</x:f>
      </x:c>
      <x:c r="AK64" s="9" t="str">
        <x:f>IF(A64="",IF(B64="","","MISSING_TEST_ID"),IF(B64="","MISSING_RUN_ID",IF(COUNTIFS($A$2:$A$501,A64,$B$2:$B$501,B64)&lt;&gt;1,"DUPLICATE_ID","OK")))</x:f>
      </x:c>
      <x:c r="AL64" s="9" t="str">
        <x:f>IF(A64="","",IF(AND(AK64="OK",J64="READY",F64&lt;&gt;"",G64&lt;&gt;"",K64&lt;&gt;"",OR(L64="PASS",L64="FAIL"),M64&lt;&gt;"",P64="social-publication-v2"),"YES","NO"))</x:f>
      </x:c>
      <x:c r="AM64" s="9" t="str">
        <x:f>IF(A64="","",IF(AND(AK64="OK",J64="READY",F64&lt;&gt;"",G64&lt;&gt;"",K64&lt;&gt;"",S64="OK",OR(R64="PASS",R64="FAIL")),"YES","NO"))</x:f>
      </x:c>
      <x:c r="AN64" s="9" t="str">
        <x:f>IF(A64="","",F64&amp;" | "&amp;G64&amp;" | "&amp;H64&amp;" | "&amp;I64)</x:f>
      </x:c>
    </x:row>
    <x:row r="65" ht="33" customHeight="1">
      <x:c r="A65" s="3"/>
      <x:c r="B65" s="3"/>
      <x:c r="C65" s="3"/>
      <x:c r="D65" s="3"/>
      <x:c r="E65" s="3"/>
      <x:c r="F65" s="3"/>
      <x:c r="G65" s="3"/>
      <x:c r="H65" s="3"/>
      <x:c r="I65" s="3"/>
      <x:c r="J65" s="3"/>
      <x:c r="K65" s="3"/>
      <x:c r="L65" s="6"/>
      <x:c r="M65" s="6"/>
      <x:c r="N65" s="6"/>
      <x:c r="O65" s="6"/>
      <x:c r="P65" s="6"/>
      <x:c r="Q65" s="7"/>
      <x:c r="R65" s="7"/>
      <x:c r="S65" s="7"/>
      <x:c r="T65" s="7"/>
      <x:c r="U65" s="7"/>
      <x:c r="V65" s="7"/>
      <x:c r="W65" s="7"/>
      <x:c r="X65" s="7"/>
      <x:c r="Y65" s="7"/>
      <x:c r="Z65" s="7"/>
      <x:c r="AA65" s="7"/>
      <x:c r="AB65" s="7"/>
      <x:c r="AC65" s="7"/>
      <x:c r="AD65" s="7"/>
      <x:c r="AE65" s="3"/>
      <x:c r="AF65" s="3"/>
      <x:c r="AG65" s="3"/>
      <x:c r="AH65" s="3"/>
      <x:c r="AI65" s="3"/>
      <x:c r="AJ65" s="9" t="str">
        <x:f>IF(A65="","",A65&amp;"|"&amp;B65)</x:f>
      </x:c>
      <x:c r="AK65" s="9" t="str">
        <x:f>IF(A65="",IF(B65="","","MISSING_TEST_ID"),IF(B65="","MISSING_RUN_ID",IF(COUNTIFS($A$2:$A$501,A65,$B$2:$B$501,B65)&lt;&gt;1,"DUPLICATE_ID","OK")))</x:f>
      </x:c>
      <x:c r="AL65" s="9" t="str">
        <x:f>IF(A65="","",IF(AND(AK65="OK",J65="READY",F65&lt;&gt;"",G65&lt;&gt;"",K65&lt;&gt;"",OR(L65="PASS",L65="FAIL"),M65&lt;&gt;"",P65="social-publication-v2"),"YES","NO"))</x:f>
      </x:c>
      <x:c r="AM65" s="9" t="str">
        <x:f>IF(A65="","",IF(AND(AK65="OK",J65="READY",F65&lt;&gt;"",G65&lt;&gt;"",K65&lt;&gt;"",S65="OK",OR(R65="PASS",R65="FAIL")),"YES","NO"))</x:f>
      </x:c>
      <x:c r="AN65" s="9" t="str">
        <x:f>IF(A65="","",F65&amp;" | "&amp;G65&amp;" | "&amp;H65&amp;" | "&amp;I65)</x:f>
      </x:c>
    </x:row>
    <x:row r="66" ht="33" customHeight="1">
      <x:c r="A66" s="3"/>
      <x:c r="B66" s="3"/>
      <x:c r="C66" s="3"/>
      <x:c r="D66" s="3"/>
      <x:c r="E66" s="3"/>
      <x:c r="F66" s="3"/>
      <x:c r="G66" s="3"/>
      <x:c r="H66" s="3"/>
      <x:c r="I66" s="3"/>
      <x:c r="J66" s="3"/>
      <x:c r="K66" s="3"/>
      <x:c r="L66" s="6"/>
      <x:c r="M66" s="6"/>
      <x:c r="N66" s="6"/>
      <x:c r="O66" s="6"/>
      <x:c r="P66" s="6"/>
      <x:c r="Q66" s="7"/>
      <x:c r="R66" s="7"/>
      <x:c r="S66" s="7"/>
      <x:c r="T66" s="7"/>
      <x:c r="U66" s="7"/>
      <x:c r="V66" s="7"/>
      <x:c r="W66" s="7"/>
      <x:c r="X66" s="7"/>
      <x:c r="Y66" s="7"/>
      <x:c r="Z66" s="7"/>
      <x:c r="AA66" s="7"/>
      <x:c r="AB66" s="7"/>
      <x:c r="AC66" s="7"/>
      <x:c r="AD66" s="7"/>
      <x:c r="AE66" s="3"/>
      <x:c r="AF66" s="3"/>
      <x:c r="AG66" s="3"/>
      <x:c r="AH66" s="3"/>
      <x:c r="AI66" s="3"/>
      <x:c r="AJ66" s="9" t="str">
        <x:f>IF(A66="","",A66&amp;"|"&amp;B66)</x:f>
      </x:c>
      <x:c r="AK66" s="9" t="str">
        <x:f>IF(A66="",IF(B66="","","MISSING_TEST_ID"),IF(B66="","MISSING_RUN_ID",IF(COUNTIFS($A$2:$A$501,A66,$B$2:$B$501,B66)&lt;&gt;1,"DUPLICATE_ID","OK")))</x:f>
      </x:c>
      <x:c r="AL66" s="9" t="str">
        <x:f>IF(A66="","",IF(AND(AK66="OK",J66="READY",F66&lt;&gt;"",G66&lt;&gt;"",K66&lt;&gt;"",OR(L66="PASS",L66="FAIL"),M66&lt;&gt;"",P66="social-publication-v2"),"YES","NO"))</x:f>
      </x:c>
      <x:c r="AM66" s="9" t="str">
        <x:f>IF(A66="","",IF(AND(AK66="OK",J66="READY",F66&lt;&gt;"",G66&lt;&gt;"",K66&lt;&gt;"",S66="OK",OR(R66="PASS",R66="FAIL")),"YES","NO"))</x:f>
      </x:c>
      <x:c r="AN66" s="9" t="str">
        <x:f>IF(A66="","",F66&amp;" | "&amp;G66&amp;" | "&amp;H66&amp;" | "&amp;I66)</x:f>
      </x:c>
    </x:row>
    <x:row r="67" ht="33" customHeight="1">
      <x:c r="A67" s="3"/>
      <x:c r="B67" s="3"/>
      <x:c r="C67" s="3"/>
      <x:c r="D67" s="3"/>
      <x:c r="E67" s="3"/>
      <x:c r="F67" s="3"/>
      <x:c r="G67" s="3"/>
      <x:c r="H67" s="3"/>
      <x:c r="I67" s="3"/>
      <x:c r="J67" s="3"/>
      <x:c r="K67" s="3"/>
      <x:c r="L67" s="6"/>
      <x:c r="M67" s="6"/>
      <x:c r="N67" s="6"/>
      <x:c r="O67" s="6"/>
      <x:c r="P67" s="6"/>
      <x:c r="Q67" s="7"/>
      <x:c r="R67" s="7"/>
      <x:c r="S67" s="7"/>
      <x:c r="T67" s="7"/>
      <x:c r="U67" s="7"/>
      <x:c r="V67" s="7"/>
      <x:c r="W67" s="7"/>
      <x:c r="X67" s="7"/>
      <x:c r="Y67" s="7"/>
      <x:c r="Z67" s="7"/>
      <x:c r="AA67" s="7"/>
      <x:c r="AB67" s="7"/>
      <x:c r="AC67" s="7"/>
      <x:c r="AD67" s="7"/>
      <x:c r="AE67" s="3"/>
      <x:c r="AF67" s="3"/>
      <x:c r="AG67" s="3"/>
      <x:c r="AH67" s="3"/>
      <x:c r="AI67" s="3"/>
      <x:c r="AJ67" s="9" t="str">
        <x:f>IF(A67="","",A67&amp;"|"&amp;B67)</x:f>
      </x:c>
      <x:c r="AK67" s="9" t="str">
        <x:f>IF(A67="",IF(B67="","","MISSING_TEST_ID"),IF(B67="","MISSING_RUN_ID",IF(COUNTIFS($A$2:$A$501,A67,$B$2:$B$501,B67)&lt;&gt;1,"DUPLICATE_ID","OK")))</x:f>
      </x:c>
      <x:c r="AL67" s="9" t="str">
        <x:f>IF(A67="","",IF(AND(AK67="OK",J67="READY",F67&lt;&gt;"",G67&lt;&gt;"",K67&lt;&gt;"",OR(L67="PASS",L67="FAIL"),M67&lt;&gt;"",P67="social-publication-v2"),"YES","NO"))</x:f>
      </x:c>
      <x:c r="AM67" s="9" t="str">
        <x:f>IF(A67="","",IF(AND(AK67="OK",J67="READY",F67&lt;&gt;"",G67&lt;&gt;"",K67&lt;&gt;"",S67="OK",OR(R67="PASS",R67="FAIL")),"YES","NO"))</x:f>
      </x:c>
      <x:c r="AN67" s="9" t="str">
        <x:f>IF(A67="","",F67&amp;" | "&amp;G67&amp;" | "&amp;H67&amp;" | "&amp;I67)</x:f>
      </x:c>
    </x:row>
    <x:row r="68" ht="33" customHeight="1">
      <x:c r="A68" s="3"/>
      <x:c r="B68" s="3"/>
      <x:c r="C68" s="3"/>
      <x:c r="D68" s="3"/>
      <x:c r="E68" s="3"/>
      <x:c r="F68" s="3"/>
      <x:c r="G68" s="3"/>
      <x:c r="H68" s="3"/>
      <x:c r="I68" s="3"/>
      <x:c r="J68" s="3"/>
      <x:c r="K68" s="3"/>
      <x:c r="L68" s="6"/>
      <x:c r="M68" s="6"/>
      <x:c r="N68" s="6"/>
      <x:c r="O68" s="6"/>
      <x:c r="P68" s="6"/>
      <x:c r="Q68" s="7"/>
      <x:c r="R68" s="7"/>
      <x:c r="S68" s="7"/>
      <x:c r="T68" s="7"/>
      <x:c r="U68" s="7"/>
      <x:c r="V68" s="7"/>
      <x:c r="W68" s="7"/>
      <x:c r="X68" s="7"/>
      <x:c r="Y68" s="7"/>
      <x:c r="Z68" s="7"/>
      <x:c r="AA68" s="7"/>
      <x:c r="AB68" s="7"/>
      <x:c r="AC68" s="7"/>
      <x:c r="AD68" s="7"/>
      <x:c r="AE68" s="3"/>
      <x:c r="AF68" s="3"/>
      <x:c r="AG68" s="3"/>
      <x:c r="AH68" s="3"/>
      <x:c r="AI68" s="3"/>
      <x:c r="AJ68" s="9" t="str">
        <x:f>IF(A68="","",A68&amp;"|"&amp;B68)</x:f>
      </x:c>
      <x:c r="AK68" s="9" t="str">
        <x:f>IF(A68="",IF(B68="","","MISSING_TEST_ID"),IF(B68="","MISSING_RUN_ID",IF(COUNTIFS($A$2:$A$501,A68,$B$2:$B$501,B68)&lt;&gt;1,"DUPLICATE_ID","OK")))</x:f>
      </x:c>
      <x:c r="AL68" s="9" t="str">
        <x:f>IF(A68="","",IF(AND(AK68="OK",J68="READY",F68&lt;&gt;"",G68&lt;&gt;"",K68&lt;&gt;"",OR(L68="PASS",L68="FAIL"),M68&lt;&gt;"",P68="social-publication-v2"),"YES","NO"))</x:f>
      </x:c>
      <x:c r="AM68" s="9" t="str">
        <x:f>IF(A68="","",IF(AND(AK68="OK",J68="READY",F68&lt;&gt;"",G68&lt;&gt;"",K68&lt;&gt;"",S68="OK",OR(R68="PASS",R68="FAIL")),"YES","NO"))</x:f>
      </x:c>
      <x:c r="AN68" s="9" t="str">
        <x:f>IF(A68="","",F68&amp;" | "&amp;G68&amp;" | "&amp;H68&amp;" | "&amp;I68)</x:f>
      </x:c>
    </x:row>
    <x:row r="69" ht="33" customHeight="1">
      <x:c r="A69" s="3"/>
      <x:c r="B69" s="3"/>
      <x:c r="C69" s="3"/>
      <x:c r="D69" s="3"/>
      <x:c r="E69" s="3"/>
      <x:c r="F69" s="3"/>
      <x:c r="G69" s="3"/>
      <x:c r="H69" s="3"/>
      <x:c r="I69" s="3"/>
      <x:c r="J69" s="3"/>
      <x:c r="K69" s="3"/>
      <x:c r="L69" s="6"/>
      <x:c r="M69" s="6"/>
      <x:c r="N69" s="6"/>
      <x:c r="O69" s="6"/>
      <x:c r="P69" s="6"/>
      <x:c r="Q69" s="7"/>
      <x:c r="R69" s="7"/>
      <x:c r="S69" s="7"/>
      <x:c r="T69" s="7"/>
      <x:c r="U69" s="7"/>
      <x:c r="V69" s="7"/>
      <x:c r="W69" s="7"/>
      <x:c r="X69" s="7"/>
      <x:c r="Y69" s="7"/>
      <x:c r="Z69" s="7"/>
      <x:c r="AA69" s="7"/>
      <x:c r="AB69" s="7"/>
      <x:c r="AC69" s="7"/>
      <x:c r="AD69" s="7"/>
      <x:c r="AE69" s="3"/>
      <x:c r="AF69" s="3"/>
      <x:c r="AG69" s="3"/>
      <x:c r="AH69" s="3"/>
      <x:c r="AI69" s="3"/>
      <x:c r="AJ69" s="9" t="str">
        <x:f>IF(A69="","",A69&amp;"|"&amp;B69)</x:f>
      </x:c>
      <x:c r="AK69" s="9" t="str">
        <x:f>IF(A69="",IF(B69="","","MISSING_TEST_ID"),IF(B69="","MISSING_RUN_ID",IF(COUNTIFS($A$2:$A$501,A69,$B$2:$B$501,B69)&lt;&gt;1,"DUPLICATE_ID","OK")))</x:f>
      </x:c>
      <x:c r="AL69" s="9" t="str">
        <x:f>IF(A69="","",IF(AND(AK69="OK",J69="READY",F69&lt;&gt;"",G69&lt;&gt;"",K69&lt;&gt;"",OR(L69="PASS",L69="FAIL"),M69&lt;&gt;"",P69="social-publication-v2"),"YES","NO"))</x:f>
      </x:c>
      <x:c r="AM69" s="9" t="str">
        <x:f>IF(A69="","",IF(AND(AK69="OK",J69="READY",F69&lt;&gt;"",G69&lt;&gt;"",K69&lt;&gt;"",S69="OK",OR(R69="PASS",R69="FAIL")),"YES","NO"))</x:f>
      </x:c>
      <x:c r="AN69" s="9" t="str">
        <x:f>IF(A69="","",F69&amp;" | "&amp;G69&amp;" | "&amp;H69&amp;" | "&amp;I69)</x:f>
      </x:c>
    </x:row>
    <x:row r="70" ht="33" customHeight="1">
      <x:c r="A70" s="3"/>
      <x:c r="B70" s="3"/>
      <x:c r="C70" s="3"/>
      <x:c r="D70" s="3"/>
      <x:c r="E70" s="3"/>
      <x:c r="F70" s="3"/>
      <x:c r="G70" s="3"/>
      <x:c r="H70" s="3"/>
      <x:c r="I70" s="3"/>
      <x:c r="J70" s="3"/>
      <x:c r="K70" s="3"/>
      <x:c r="L70" s="6"/>
      <x:c r="M70" s="6"/>
      <x:c r="N70" s="6"/>
      <x:c r="O70" s="6"/>
      <x:c r="P70" s="6"/>
      <x:c r="Q70" s="7"/>
      <x:c r="R70" s="7"/>
      <x:c r="S70" s="7"/>
      <x:c r="T70" s="7"/>
      <x:c r="U70" s="7"/>
      <x:c r="V70" s="7"/>
      <x:c r="W70" s="7"/>
      <x:c r="X70" s="7"/>
      <x:c r="Y70" s="7"/>
      <x:c r="Z70" s="7"/>
      <x:c r="AA70" s="7"/>
      <x:c r="AB70" s="7"/>
      <x:c r="AC70" s="7"/>
      <x:c r="AD70" s="7"/>
      <x:c r="AE70" s="3"/>
      <x:c r="AF70" s="3"/>
      <x:c r="AG70" s="3"/>
      <x:c r="AH70" s="3"/>
      <x:c r="AI70" s="3"/>
      <x:c r="AJ70" s="9" t="str">
        <x:f>IF(A70="","",A70&amp;"|"&amp;B70)</x:f>
      </x:c>
      <x:c r="AK70" s="9" t="str">
        <x:f>IF(A70="",IF(B70="","","MISSING_TEST_ID"),IF(B70="","MISSING_RUN_ID",IF(COUNTIFS($A$2:$A$501,A70,$B$2:$B$501,B70)&lt;&gt;1,"DUPLICATE_ID","OK")))</x:f>
      </x:c>
      <x:c r="AL70" s="9" t="str">
        <x:f>IF(A70="","",IF(AND(AK70="OK",J70="READY",F70&lt;&gt;"",G70&lt;&gt;"",K70&lt;&gt;"",OR(L70="PASS",L70="FAIL"),M70&lt;&gt;"",P70="social-publication-v2"),"YES","NO"))</x:f>
      </x:c>
      <x:c r="AM70" s="9" t="str">
        <x:f>IF(A70="","",IF(AND(AK70="OK",J70="READY",F70&lt;&gt;"",G70&lt;&gt;"",K70&lt;&gt;"",S70="OK",OR(R70="PASS",R70="FAIL")),"YES","NO"))</x:f>
      </x:c>
      <x:c r="AN70" s="9" t="str">
        <x:f>IF(A70="","",F70&amp;" | "&amp;G70&amp;" | "&amp;H70&amp;" | "&amp;I70)</x:f>
      </x:c>
    </x:row>
    <x:row r="71" ht="33" customHeight="1">
      <x:c r="A71" s="3"/>
      <x:c r="B71" s="3"/>
      <x:c r="C71" s="3"/>
      <x:c r="D71" s="3"/>
      <x:c r="E71" s="3"/>
      <x:c r="F71" s="3"/>
      <x:c r="G71" s="3"/>
      <x:c r="H71" s="3"/>
      <x:c r="I71" s="3"/>
      <x:c r="J71" s="3"/>
      <x:c r="K71" s="3"/>
      <x:c r="L71" s="6"/>
      <x:c r="M71" s="6"/>
      <x:c r="N71" s="6"/>
      <x:c r="O71" s="6"/>
      <x:c r="P71" s="6"/>
      <x:c r="Q71" s="7"/>
      <x:c r="R71" s="7"/>
      <x:c r="S71" s="7"/>
      <x:c r="T71" s="7"/>
      <x:c r="U71" s="7"/>
      <x:c r="V71" s="7"/>
      <x:c r="W71" s="7"/>
      <x:c r="X71" s="7"/>
      <x:c r="Y71" s="7"/>
      <x:c r="Z71" s="7"/>
      <x:c r="AA71" s="7"/>
      <x:c r="AB71" s="7"/>
      <x:c r="AC71" s="7"/>
      <x:c r="AD71" s="7"/>
      <x:c r="AE71" s="3"/>
      <x:c r="AF71" s="3"/>
      <x:c r="AG71" s="3"/>
      <x:c r="AH71" s="3"/>
      <x:c r="AI71" s="3"/>
      <x:c r="AJ71" s="9" t="str">
        <x:f>IF(A71="","",A71&amp;"|"&amp;B71)</x:f>
      </x:c>
      <x:c r="AK71" s="9" t="str">
        <x:f>IF(A71="",IF(B71="","","MISSING_TEST_ID"),IF(B71="","MISSING_RUN_ID",IF(COUNTIFS($A$2:$A$501,A71,$B$2:$B$501,B71)&lt;&gt;1,"DUPLICATE_ID","OK")))</x:f>
      </x:c>
      <x:c r="AL71" s="9" t="str">
        <x:f>IF(A71="","",IF(AND(AK71="OK",J71="READY",F71&lt;&gt;"",G71&lt;&gt;"",K71&lt;&gt;"",OR(L71="PASS",L71="FAIL"),M71&lt;&gt;"",P71="social-publication-v2"),"YES","NO"))</x:f>
      </x:c>
      <x:c r="AM71" s="9" t="str">
        <x:f>IF(A71="","",IF(AND(AK71="OK",J71="READY",F71&lt;&gt;"",G71&lt;&gt;"",K71&lt;&gt;"",S71="OK",OR(R71="PASS",R71="FAIL")),"YES","NO"))</x:f>
      </x:c>
      <x:c r="AN71" s="9" t="str">
        <x:f>IF(A71="","",F71&amp;" | "&amp;G71&amp;" | "&amp;H71&amp;" | "&amp;I71)</x:f>
      </x:c>
    </x:row>
    <x:row r="72" ht="33" customHeight="1">
      <x:c r="A72" s="3"/>
      <x:c r="B72" s="3"/>
      <x:c r="C72" s="3"/>
      <x:c r="D72" s="3"/>
      <x:c r="E72" s="3"/>
      <x:c r="F72" s="3"/>
      <x:c r="G72" s="3"/>
      <x:c r="H72" s="3"/>
      <x:c r="I72" s="3"/>
      <x:c r="J72" s="3"/>
      <x:c r="K72" s="3"/>
      <x:c r="L72" s="6"/>
      <x:c r="M72" s="6"/>
      <x:c r="N72" s="6"/>
      <x:c r="O72" s="6"/>
      <x:c r="P72" s="6"/>
      <x:c r="Q72" s="7"/>
      <x:c r="R72" s="7"/>
      <x:c r="S72" s="7"/>
      <x:c r="T72" s="7"/>
      <x:c r="U72" s="7"/>
      <x:c r="V72" s="7"/>
      <x:c r="W72" s="7"/>
      <x:c r="X72" s="7"/>
      <x:c r="Y72" s="7"/>
      <x:c r="Z72" s="7"/>
      <x:c r="AA72" s="7"/>
      <x:c r="AB72" s="7"/>
      <x:c r="AC72" s="7"/>
      <x:c r="AD72" s="7"/>
      <x:c r="AE72" s="3"/>
      <x:c r="AF72" s="3"/>
      <x:c r="AG72" s="3"/>
      <x:c r="AH72" s="3"/>
      <x:c r="AI72" s="3"/>
      <x:c r="AJ72" s="9" t="str">
        <x:f>IF(A72="","",A72&amp;"|"&amp;B72)</x:f>
      </x:c>
      <x:c r="AK72" s="9" t="str">
        <x:f>IF(A72="",IF(B72="","","MISSING_TEST_ID"),IF(B72="","MISSING_RUN_ID",IF(COUNTIFS($A$2:$A$501,A72,$B$2:$B$501,B72)&lt;&gt;1,"DUPLICATE_ID","OK")))</x:f>
      </x:c>
      <x:c r="AL72" s="9" t="str">
        <x:f>IF(A72="","",IF(AND(AK72="OK",J72="READY",F72&lt;&gt;"",G72&lt;&gt;"",K72&lt;&gt;"",OR(L72="PASS",L72="FAIL"),M72&lt;&gt;"",P72="social-publication-v2"),"YES","NO"))</x:f>
      </x:c>
      <x:c r="AM72" s="9" t="str">
        <x:f>IF(A72="","",IF(AND(AK72="OK",J72="READY",F72&lt;&gt;"",G72&lt;&gt;"",K72&lt;&gt;"",S72="OK",OR(R72="PASS",R72="FAIL")),"YES","NO"))</x:f>
      </x:c>
      <x:c r="AN72" s="9" t="str">
        <x:f>IF(A72="","",F72&amp;" | "&amp;G72&amp;" | "&amp;H72&amp;" | "&amp;I72)</x:f>
      </x:c>
    </x:row>
    <x:row r="73" ht="33" customHeight="1">
      <x:c r="A73" s="3"/>
      <x:c r="B73" s="3"/>
      <x:c r="C73" s="3"/>
      <x:c r="D73" s="3"/>
      <x:c r="E73" s="3"/>
      <x:c r="F73" s="3"/>
      <x:c r="G73" s="3"/>
      <x:c r="H73" s="3"/>
      <x:c r="I73" s="3"/>
      <x:c r="J73" s="3"/>
      <x:c r="K73" s="3"/>
      <x:c r="L73" s="6"/>
      <x:c r="M73" s="6"/>
      <x:c r="N73" s="6"/>
      <x:c r="O73" s="6"/>
      <x:c r="P73" s="6"/>
      <x:c r="Q73" s="7"/>
      <x:c r="R73" s="7"/>
      <x:c r="S73" s="7"/>
      <x:c r="T73" s="7"/>
      <x:c r="U73" s="7"/>
      <x:c r="V73" s="7"/>
      <x:c r="W73" s="7"/>
      <x:c r="X73" s="7"/>
      <x:c r="Y73" s="7"/>
      <x:c r="Z73" s="7"/>
      <x:c r="AA73" s="7"/>
      <x:c r="AB73" s="7"/>
      <x:c r="AC73" s="7"/>
      <x:c r="AD73" s="7"/>
      <x:c r="AE73" s="3"/>
      <x:c r="AF73" s="3"/>
      <x:c r="AG73" s="3"/>
      <x:c r="AH73" s="3"/>
      <x:c r="AI73" s="3"/>
      <x:c r="AJ73" s="9" t="str">
        <x:f>IF(A73="","",A73&amp;"|"&amp;B73)</x:f>
      </x:c>
      <x:c r="AK73" s="9" t="str">
        <x:f>IF(A73="",IF(B73="","","MISSING_TEST_ID"),IF(B73="","MISSING_RUN_ID",IF(COUNTIFS($A$2:$A$501,A73,$B$2:$B$501,B73)&lt;&gt;1,"DUPLICATE_ID","OK")))</x:f>
      </x:c>
      <x:c r="AL73" s="9" t="str">
        <x:f>IF(A73="","",IF(AND(AK73="OK",J73="READY",F73&lt;&gt;"",G73&lt;&gt;"",K73&lt;&gt;"",OR(L73="PASS",L73="FAIL"),M73&lt;&gt;"",P73="social-publication-v2"),"YES","NO"))</x:f>
      </x:c>
      <x:c r="AM73" s="9" t="str">
        <x:f>IF(A73="","",IF(AND(AK73="OK",J73="READY",F73&lt;&gt;"",G73&lt;&gt;"",K73&lt;&gt;"",S73="OK",OR(R73="PASS",R73="FAIL")),"YES","NO"))</x:f>
      </x:c>
      <x:c r="AN73" s="9" t="str">
        <x:f>IF(A73="","",F73&amp;" | "&amp;G73&amp;" | "&amp;H73&amp;" | "&amp;I73)</x:f>
      </x:c>
    </x:row>
    <x:row r="74" ht="33" customHeight="1">
      <x:c r="A74" s="3"/>
      <x:c r="B74" s="3"/>
      <x:c r="C74" s="3"/>
      <x:c r="D74" s="3"/>
      <x:c r="E74" s="3"/>
      <x:c r="F74" s="3"/>
      <x:c r="G74" s="3"/>
      <x:c r="H74" s="3"/>
      <x:c r="I74" s="3"/>
      <x:c r="J74" s="3"/>
      <x:c r="K74" s="3"/>
      <x:c r="L74" s="6"/>
      <x:c r="M74" s="6"/>
      <x:c r="N74" s="6"/>
      <x:c r="O74" s="6"/>
      <x:c r="P74" s="6"/>
      <x:c r="Q74" s="7"/>
      <x:c r="R74" s="7"/>
      <x:c r="S74" s="7"/>
      <x:c r="T74" s="7"/>
      <x:c r="U74" s="7"/>
      <x:c r="V74" s="7"/>
      <x:c r="W74" s="7"/>
      <x:c r="X74" s="7"/>
      <x:c r="Y74" s="7"/>
      <x:c r="Z74" s="7"/>
      <x:c r="AA74" s="7"/>
      <x:c r="AB74" s="7"/>
      <x:c r="AC74" s="7"/>
      <x:c r="AD74" s="7"/>
      <x:c r="AE74" s="3"/>
      <x:c r="AF74" s="3"/>
      <x:c r="AG74" s="3"/>
      <x:c r="AH74" s="3"/>
      <x:c r="AI74" s="3"/>
      <x:c r="AJ74" s="9" t="str">
        <x:f>IF(A74="","",A74&amp;"|"&amp;B74)</x:f>
      </x:c>
      <x:c r="AK74" s="9" t="str">
        <x:f>IF(A74="",IF(B74="","","MISSING_TEST_ID"),IF(B74="","MISSING_RUN_ID",IF(COUNTIFS($A$2:$A$501,A74,$B$2:$B$501,B74)&lt;&gt;1,"DUPLICATE_ID","OK")))</x:f>
      </x:c>
      <x:c r="AL74" s="9" t="str">
        <x:f>IF(A74="","",IF(AND(AK74="OK",J74="READY",F74&lt;&gt;"",G74&lt;&gt;"",K74&lt;&gt;"",OR(L74="PASS",L74="FAIL"),M74&lt;&gt;"",P74="social-publication-v2"),"YES","NO"))</x:f>
      </x:c>
      <x:c r="AM74" s="9" t="str">
        <x:f>IF(A74="","",IF(AND(AK74="OK",J74="READY",F74&lt;&gt;"",G74&lt;&gt;"",K74&lt;&gt;"",S74="OK",OR(R74="PASS",R74="FAIL")),"YES","NO"))</x:f>
      </x:c>
      <x:c r="AN74" s="9" t="str">
        <x:f>IF(A74="","",F74&amp;" | "&amp;G74&amp;" | "&amp;H74&amp;" | "&amp;I74)</x:f>
      </x:c>
    </x:row>
    <x:row r="75" ht="33" customHeight="1">
      <x:c r="A75" s="3"/>
      <x:c r="B75" s="3"/>
      <x:c r="C75" s="3"/>
      <x:c r="D75" s="3"/>
      <x:c r="E75" s="3"/>
      <x:c r="F75" s="3"/>
      <x:c r="G75" s="3"/>
      <x:c r="H75" s="3"/>
      <x:c r="I75" s="3"/>
      <x:c r="J75" s="3"/>
      <x:c r="K75" s="3"/>
      <x:c r="L75" s="6"/>
      <x:c r="M75" s="6"/>
      <x:c r="N75" s="6"/>
      <x:c r="O75" s="6"/>
      <x:c r="P75" s="6"/>
      <x:c r="Q75" s="7"/>
      <x:c r="R75" s="7"/>
      <x:c r="S75" s="7"/>
      <x:c r="T75" s="7"/>
      <x:c r="U75" s="7"/>
      <x:c r="V75" s="7"/>
      <x:c r="W75" s="7"/>
      <x:c r="X75" s="7"/>
      <x:c r="Y75" s="7"/>
      <x:c r="Z75" s="7"/>
      <x:c r="AA75" s="7"/>
      <x:c r="AB75" s="7"/>
      <x:c r="AC75" s="7"/>
      <x:c r="AD75" s="7"/>
      <x:c r="AE75" s="3"/>
      <x:c r="AF75" s="3"/>
      <x:c r="AG75" s="3"/>
      <x:c r="AH75" s="3"/>
      <x:c r="AI75" s="3"/>
      <x:c r="AJ75" s="9" t="str">
        <x:f>IF(A75="","",A75&amp;"|"&amp;B75)</x:f>
      </x:c>
      <x:c r="AK75" s="9" t="str">
        <x:f>IF(A75="",IF(B75="","","MISSING_TEST_ID"),IF(B75="","MISSING_RUN_ID",IF(COUNTIFS($A$2:$A$501,A75,$B$2:$B$501,B75)&lt;&gt;1,"DUPLICATE_ID","OK")))</x:f>
      </x:c>
      <x:c r="AL75" s="9" t="str">
        <x:f>IF(A75="","",IF(AND(AK75="OK",J75="READY",F75&lt;&gt;"",G75&lt;&gt;"",K75&lt;&gt;"",OR(L75="PASS",L75="FAIL"),M75&lt;&gt;"",P75="social-publication-v2"),"YES","NO"))</x:f>
      </x:c>
      <x:c r="AM75" s="9" t="str">
        <x:f>IF(A75="","",IF(AND(AK75="OK",J75="READY",F75&lt;&gt;"",G75&lt;&gt;"",K75&lt;&gt;"",S75="OK",OR(R75="PASS",R75="FAIL")),"YES","NO"))</x:f>
      </x:c>
      <x:c r="AN75" s="9" t="str">
        <x:f>IF(A75="","",F75&amp;" | "&amp;G75&amp;" | "&amp;H75&amp;" | "&amp;I75)</x:f>
      </x:c>
    </x:row>
    <x:row r="76" ht="33" customHeight="1">
      <x:c r="A76" s="3"/>
      <x:c r="B76" s="3"/>
      <x:c r="C76" s="3"/>
      <x:c r="D76" s="3"/>
      <x:c r="E76" s="3"/>
      <x:c r="F76" s="3"/>
      <x:c r="G76" s="3"/>
      <x:c r="H76" s="3"/>
      <x:c r="I76" s="3"/>
      <x:c r="J76" s="3"/>
      <x:c r="K76" s="3"/>
      <x:c r="L76" s="6"/>
      <x:c r="M76" s="6"/>
      <x:c r="N76" s="6"/>
      <x:c r="O76" s="6"/>
      <x:c r="P76" s="6"/>
      <x:c r="Q76" s="7"/>
      <x:c r="R76" s="7"/>
      <x:c r="S76" s="7"/>
      <x:c r="T76" s="7"/>
      <x:c r="U76" s="7"/>
      <x:c r="V76" s="7"/>
      <x:c r="W76" s="7"/>
      <x:c r="X76" s="7"/>
      <x:c r="Y76" s="7"/>
      <x:c r="Z76" s="7"/>
      <x:c r="AA76" s="7"/>
      <x:c r="AB76" s="7"/>
      <x:c r="AC76" s="7"/>
      <x:c r="AD76" s="7"/>
      <x:c r="AE76" s="3"/>
      <x:c r="AF76" s="3"/>
      <x:c r="AG76" s="3"/>
      <x:c r="AH76" s="3"/>
      <x:c r="AI76" s="3"/>
      <x:c r="AJ76" s="9" t="str">
        <x:f>IF(A76="","",A76&amp;"|"&amp;B76)</x:f>
      </x:c>
      <x:c r="AK76" s="9" t="str">
        <x:f>IF(A76="",IF(B76="","","MISSING_TEST_ID"),IF(B76="","MISSING_RUN_ID",IF(COUNTIFS($A$2:$A$501,A76,$B$2:$B$501,B76)&lt;&gt;1,"DUPLICATE_ID","OK")))</x:f>
      </x:c>
      <x:c r="AL76" s="9" t="str">
        <x:f>IF(A76="","",IF(AND(AK76="OK",J76="READY",F76&lt;&gt;"",G76&lt;&gt;"",K76&lt;&gt;"",OR(L76="PASS",L76="FAIL"),M76&lt;&gt;"",P76="social-publication-v2"),"YES","NO"))</x:f>
      </x:c>
      <x:c r="AM76" s="9" t="str">
        <x:f>IF(A76="","",IF(AND(AK76="OK",J76="READY",F76&lt;&gt;"",G76&lt;&gt;"",K76&lt;&gt;"",S76="OK",OR(R76="PASS",R76="FAIL")),"YES","NO"))</x:f>
      </x:c>
      <x:c r="AN76" s="9" t="str">
        <x:f>IF(A76="","",F76&amp;" | "&amp;G76&amp;" | "&amp;H76&amp;" | "&amp;I76)</x:f>
      </x:c>
    </x:row>
    <x:row r="77" ht="33" customHeight="1">
      <x:c r="A77" s="3"/>
      <x:c r="B77" s="3"/>
      <x:c r="C77" s="3"/>
      <x:c r="D77" s="3"/>
      <x:c r="E77" s="3"/>
      <x:c r="F77" s="3"/>
      <x:c r="G77" s="3"/>
      <x:c r="H77" s="3"/>
      <x:c r="I77" s="3"/>
      <x:c r="J77" s="3"/>
      <x:c r="K77" s="3"/>
      <x:c r="L77" s="6"/>
      <x:c r="M77" s="6"/>
      <x:c r="N77" s="6"/>
      <x:c r="O77" s="6"/>
      <x:c r="P77" s="6"/>
      <x:c r="Q77" s="7"/>
      <x:c r="R77" s="7"/>
      <x:c r="S77" s="7"/>
      <x:c r="T77" s="7"/>
      <x:c r="U77" s="7"/>
      <x:c r="V77" s="7"/>
      <x:c r="W77" s="7"/>
      <x:c r="X77" s="7"/>
      <x:c r="Y77" s="7"/>
      <x:c r="Z77" s="7"/>
      <x:c r="AA77" s="7"/>
      <x:c r="AB77" s="7"/>
      <x:c r="AC77" s="7"/>
      <x:c r="AD77" s="7"/>
      <x:c r="AE77" s="3"/>
      <x:c r="AF77" s="3"/>
      <x:c r="AG77" s="3"/>
      <x:c r="AH77" s="3"/>
      <x:c r="AI77" s="3"/>
      <x:c r="AJ77" s="9" t="str">
        <x:f>IF(A77="","",A77&amp;"|"&amp;B77)</x:f>
      </x:c>
      <x:c r="AK77" s="9" t="str">
        <x:f>IF(A77="",IF(B77="","","MISSING_TEST_ID"),IF(B77="","MISSING_RUN_ID",IF(COUNTIFS($A$2:$A$501,A77,$B$2:$B$501,B77)&lt;&gt;1,"DUPLICATE_ID","OK")))</x:f>
      </x:c>
      <x:c r="AL77" s="9" t="str">
        <x:f>IF(A77="","",IF(AND(AK77="OK",J77="READY",F77&lt;&gt;"",G77&lt;&gt;"",K77&lt;&gt;"",OR(L77="PASS",L77="FAIL"),M77&lt;&gt;"",P77="social-publication-v2"),"YES","NO"))</x:f>
      </x:c>
      <x:c r="AM77" s="9" t="str">
        <x:f>IF(A77="","",IF(AND(AK77="OK",J77="READY",F77&lt;&gt;"",G77&lt;&gt;"",K77&lt;&gt;"",S77="OK",OR(R77="PASS",R77="FAIL")),"YES","NO"))</x:f>
      </x:c>
      <x:c r="AN77" s="9" t="str">
        <x:f>IF(A77="","",F77&amp;" | "&amp;G77&amp;" | "&amp;H77&amp;" | "&amp;I77)</x:f>
      </x:c>
    </x:row>
    <x:row r="78" ht="33" customHeight="1">
      <x:c r="A78" s="3"/>
      <x:c r="B78" s="3"/>
      <x:c r="C78" s="3"/>
      <x:c r="D78" s="3"/>
      <x:c r="E78" s="3"/>
      <x:c r="F78" s="3"/>
      <x:c r="G78" s="3"/>
      <x:c r="H78" s="3"/>
      <x:c r="I78" s="3"/>
      <x:c r="J78" s="3"/>
      <x:c r="K78" s="3"/>
      <x:c r="L78" s="6"/>
      <x:c r="M78" s="6"/>
      <x:c r="N78" s="6"/>
      <x:c r="O78" s="6"/>
      <x:c r="P78" s="6"/>
      <x:c r="Q78" s="7"/>
      <x:c r="R78" s="7"/>
      <x:c r="S78" s="7"/>
      <x:c r="T78" s="7"/>
      <x:c r="U78" s="7"/>
      <x:c r="V78" s="7"/>
      <x:c r="W78" s="7"/>
      <x:c r="X78" s="7"/>
      <x:c r="Y78" s="7"/>
      <x:c r="Z78" s="7"/>
      <x:c r="AA78" s="7"/>
      <x:c r="AB78" s="7"/>
      <x:c r="AC78" s="7"/>
      <x:c r="AD78" s="7"/>
      <x:c r="AE78" s="3"/>
      <x:c r="AF78" s="3"/>
      <x:c r="AG78" s="3"/>
      <x:c r="AH78" s="3"/>
      <x:c r="AI78" s="3"/>
      <x:c r="AJ78" s="9" t="str">
        <x:f>IF(A78="","",A78&amp;"|"&amp;B78)</x:f>
      </x:c>
      <x:c r="AK78" s="9" t="str">
        <x:f>IF(A78="",IF(B78="","","MISSING_TEST_ID"),IF(B78="","MISSING_RUN_ID",IF(COUNTIFS($A$2:$A$501,A78,$B$2:$B$501,B78)&lt;&gt;1,"DUPLICATE_ID","OK")))</x:f>
      </x:c>
      <x:c r="AL78" s="9" t="str">
        <x:f>IF(A78="","",IF(AND(AK78="OK",J78="READY",F78&lt;&gt;"",G78&lt;&gt;"",K78&lt;&gt;"",OR(L78="PASS",L78="FAIL"),M78&lt;&gt;"",P78="social-publication-v2"),"YES","NO"))</x:f>
      </x:c>
      <x:c r="AM78" s="9" t="str">
        <x:f>IF(A78="","",IF(AND(AK78="OK",J78="READY",F78&lt;&gt;"",G78&lt;&gt;"",K78&lt;&gt;"",S78="OK",OR(R78="PASS",R78="FAIL")),"YES","NO"))</x:f>
      </x:c>
      <x:c r="AN78" s="9" t="str">
        <x:f>IF(A78="","",F78&amp;" | "&amp;G78&amp;" | "&amp;H78&amp;" | "&amp;I78)</x:f>
      </x:c>
    </x:row>
    <x:row r="79" ht="33" customHeight="1">
      <x:c r="A79" s="3"/>
      <x:c r="B79" s="3"/>
      <x:c r="C79" s="3"/>
      <x:c r="D79" s="3"/>
      <x:c r="E79" s="3"/>
      <x:c r="F79" s="3"/>
      <x:c r="G79" s="3"/>
      <x:c r="H79" s="3"/>
      <x:c r="I79" s="3"/>
      <x:c r="J79" s="3"/>
      <x:c r="K79" s="3"/>
      <x:c r="L79" s="6"/>
      <x:c r="M79" s="6"/>
      <x:c r="N79" s="6"/>
      <x:c r="O79" s="6"/>
      <x:c r="P79" s="6"/>
      <x:c r="Q79" s="7"/>
      <x:c r="R79" s="7"/>
      <x:c r="S79" s="7"/>
      <x:c r="T79" s="7"/>
      <x:c r="U79" s="7"/>
      <x:c r="V79" s="7"/>
      <x:c r="W79" s="7"/>
      <x:c r="X79" s="7"/>
      <x:c r="Y79" s="7"/>
      <x:c r="Z79" s="7"/>
      <x:c r="AA79" s="7"/>
      <x:c r="AB79" s="7"/>
      <x:c r="AC79" s="7"/>
      <x:c r="AD79" s="7"/>
      <x:c r="AE79" s="3"/>
      <x:c r="AF79" s="3"/>
      <x:c r="AG79" s="3"/>
      <x:c r="AH79" s="3"/>
      <x:c r="AI79" s="3"/>
      <x:c r="AJ79" s="9" t="str">
        <x:f>IF(A79="","",A79&amp;"|"&amp;B79)</x:f>
      </x:c>
      <x:c r="AK79" s="9" t="str">
        <x:f>IF(A79="",IF(B79="","","MISSING_TEST_ID"),IF(B79="","MISSING_RUN_ID",IF(COUNTIFS($A$2:$A$501,A79,$B$2:$B$501,B79)&lt;&gt;1,"DUPLICATE_ID","OK")))</x:f>
      </x:c>
      <x:c r="AL79" s="9" t="str">
        <x:f>IF(A79="","",IF(AND(AK79="OK",J79="READY",F79&lt;&gt;"",G79&lt;&gt;"",K79&lt;&gt;"",OR(L79="PASS",L79="FAIL"),M79&lt;&gt;"",P79="social-publication-v2"),"YES","NO"))</x:f>
      </x:c>
      <x:c r="AM79" s="9" t="str">
        <x:f>IF(A79="","",IF(AND(AK79="OK",J79="READY",F79&lt;&gt;"",G79&lt;&gt;"",K79&lt;&gt;"",S79="OK",OR(R79="PASS",R79="FAIL")),"YES","NO"))</x:f>
      </x:c>
      <x:c r="AN79" s="9" t="str">
        <x:f>IF(A79="","",F79&amp;" | "&amp;G79&amp;" | "&amp;H79&amp;" | "&amp;I79)</x:f>
      </x:c>
    </x:row>
    <x:row r="80" ht="33" customHeight="1">
      <x:c r="A80" s="3"/>
      <x:c r="B80" s="3"/>
      <x:c r="C80" s="3"/>
      <x:c r="D80" s="3"/>
      <x:c r="E80" s="3"/>
      <x:c r="F80" s="3"/>
      <x:c r="G80" s="3"/>
      <x:c r="H80" s="3"/>
      <x:c r="I80" s="3"/>
      <x:c r="J80" s="3"/>
      <x:c r="K80" s="3"/>
      <x:c r="L80" s="6"/>
      <x:c r="M80" s="6"/>
      <x:c r="N80" s="6"/>
      <x:c r="O80" s="6"/>
      <x:c r="P80" s="6"/>
      <x:c r="Q80" s="7"/>
      <x:c r="R80" s="7"/>
      <x:c r="S80" s="7"/>
      <x:c r="T80" s="7"/>
      <x:c r="U80" s="7"/>
      <x:c r="V80" s="7"/>
      <x:c r="W80" s="7"/>
      <x:c r="X80" s="7"/>
      <x:c r="Y80" s="7"/>
      <x:c r="Z80" s="7"/>
      <x:c r="AA80" s="7"/>
      <x:c r="AB80" s="7"/>
      <x:c r="AC80" s="7"/>
      <x:c r="AD80" s="7"/>
      <x:c r="AE80" s="3"/>
      <x:c r="AF80" s="3"/>
      <x:c r="AG80" s="3"/>
      <x:c r="AH80" s="3"/>
      <x:c r="AI80" s="3"/>
      <x:c r="AJ80" s="9" t="str">
        <x:f>IF(A80="","",A80&amp;"|"&amp;B80)</x:f>
      </x:c>
      <x:c r="AK80" s="9" t="str">
        <x:f>IF(A80="",IF(B80="","","MISSING_TEST_ID"),IF(B80="","MISSING_RUN_ID",IF(COUNTIFS($A$2:$A$501,A80,$B$2:$B$501,B80)&lt;&gt;1,"DUPLICATE_ID","OK")))</x:f>
      </x:c>
      <x:c r="AL80" s="9" t="str">
        <x:f>IF(A80="","",IF(AND(AK80="OK",J80="READY",F80&lt;&gt;"",G80&lt;&gt;"",K80&lt;&gt;"",OR(L80="PASS",L80="FAIL"),M80&lt;&gt;"",P80="social-publication-v2"),"YES","NO"))</x:f>
      </x:c>
      <x:c r="AM80" s="9" t="str">
        <x:f>IF(A80="","",IF(AND(AK80="OK",J80="READY",F80&lt;&gt;"",G80&lt;&gt;"",K80&lt;&gt;"",S80="OK",OR(R80="PASS",R80="FAIL")),"YES","NO"))</x:f>
      </x:c>
      <x:c r="AN80" s="9" t="str">
        <x:f>IF(A80="","",F80&amp;" | "&amp;G80&amp;" | "&amp;H80&amp;" | "&amp;I80)</x:f>
      </x:c>
    </x:row>
    <x:row r="81" ht="33" customHeight="1">
      <x:c r="A81" s="3"/>
      <x:c r="B81" s="3"/>
      <x:c r="C81" s="3"/>
      <x:c r="D81" s="3"/>
      <x:c r="E81" s="3"/>
      <x:c r="F81" s="3"/>
      <x:c r="G81" s="3"/>
      <x:c r="H81" s="3"/>
      <x:c r="I81" s="3"/>
      <x:c r="J81" s="3"/>
      <x:c r="K81" s="3"/>
      <x:c r="L81" s="6"/>
      <x:c r="M81" s="6"/>
      <x:c r="N81" s="6"/>
      <x:c r="O81" s="6"/>
      <x:c r="P81" s="6"/>
      <x:c r="Q81" s="7"/>
      <x:c r="R81" s="7"/>
      <x:c r="S81" s="7"/>
      <x:c r="T81" s="7"/>
      <x:c r="U81" s="7"/>
      <x:c r="V81" s="7"/>
      <x:c r="W81" s="7"/>
      <x:c r="X81" s="7"/>
      <x:c r="Y81" s="7"/>
      <x:c r="Z81" s="7"/>
      <x:c r="AA81" s="7"/>
      <x:c r="AB81" s="7"/>
      <x:c r="AC81" s="7"/>
      <x:c r="AD81" s="7"/>
      <x:c r="AE81" s="3"/>
      <x:c r="AF81" s="3"/>
      <x:c r="AG81" s="3"/>
      <x:c r="AH81" s="3"/>
      <x:c r="AI81" s="3"/>
      <x:c r="AJ81" s="9" t="str">
        <x:f>IF(A81="","",A81&amp;"|"&amp;B81)</x:f>
      </x:c>
      <x:c r="AK81" s="9" t="str">
        <x:f>IF(A81="",IF(B81="","","MISSING_TEST_ID"),IF(B81="","MISSING_RUN_ID",IF(COUNTIFS($A$2:$A$501,A81,$B$2:$B$501,B81)&lt;&gt;1,"DUPLICATE_ID","OK")))</x:f>
      </x:c>
      <x:c r="AL81" s="9" t="str">
        <x:f>IF(A81="","",IF(AND(AK81="OK",J81="READY",F81&lt;&gt;"",G81&lt;&gt;"",K81&lt;&gt;"",OR(L81="PASS",L81="FAIL"),M81&lt;&gt;"",P81="social-publication-v2"),"YES","NO"))</x:f>
      </x:c>
      <x:c r="AM81" s="9" t="str">
        <x:f>IF(A81="","",IF(AND(AK81="OK",J81="READY",F81&lt;&gt;"",G81&lt;&gt;"",K81&lt;&gt;"",S81="OK",OR(R81="PASS",R81="FAIL")),"YES","NO"))</x:f>
      </x:c>
      <x:c r="AN81" s="9" t="str">
        <x:f>IF(A81="","",F81&amp;" | "&amp;G81&amp;" | "&amp;H81&amp;" | "&amp;I81)</x:f>
      </x:c>
    </x:row>
    <x:row r="82" ht="33" customHeight="1">
      <x:c r="A82" s="3"/>
      <x:c r="B82" s="3"/>
      <x:c r="C82" s="3"/>
      <x:c r="D82" s="3"/>
      <x:c r="E82" s="3"/>
      <x:c r="F82" s="3"/>
      <x:c r="G82" s="3"/>
      <x:c r="H82" s="3"/>
      <x:c r="I82" s="3"/>
      <x:c r="J82" s="3"/>
      <x:c r="K82" s="3"/>
      <x:c r="L82" s="6"/>
      <x:c r="M82" s="6"/>
      <x:c r="N82" s="6"/>
      <x:c r="O82" s="6"/>
      <x:c r="P82" s="6"/>
      <x:c r="Q82" s="7"/>
      <x:c r="R82" s="7"/>
      <x:c r="S82" s="7"/>
      <x:c r="T82" s="7"/>
      <x:c r="U82" s="7"/>
      <x:c r="V82" s="7"/>
      <x:c r="W82" s="7"/>
      <x:c r="X82" s="7"/>
      <x:c r="Y82" s="7"/>
      <x:c r="Z82" s="7"/>
      <x:c r="AA82" s="7"/>
      <x:c r="AB82" s="7"/>
      <x:c r="AC82" s="7"/>
      <x:c r="AD82" s="7"/>
      <x:c r="AE82" s="3"/>
      <x:c r="AF82" s="3"/>
      <x:c r="AG82" s="3"/>
      <x:c r="AH82" s="3"/>
      <x:c r="AI82" s="3"/>
      <x:c r="AJ82" s="9" t="str">
        <x:f>IF(A82="","",A82&amp;"|"&amp;B82)</x:f>
      </x:c>
      <x:c r="AK82" s="9" t="str">
        <x:f>IF(A82="",IF(B82="","","MISSING_TEST_ID"),IF(B82="","MISSING_RUN_ID",IF(COUNTIFS($A$2:$A$501,A82,$B$2:$B$501,B82)&lt;&gt;1,"DUPLICATE_ID","OK")))</x:f>
      </x:c>
      <x:c r="AL82" s="9" t="str">
        <x:f>IF(A82="","",IF(AND(AK82="OK",J82="READY",F82&lt;&gt;"",G82&lt;&gt;"",K82&lt;&gt;"",OR(L82="PASS",L82="FAIL"),M82&lt;&gt;"",P82="social-publication-v2"),"YES","NO"))</x:f>
      </x:c>
      <x:c r="AM82" s="9" t="str">
        <x:f>IF(A82="","",IF(AND(AK82="OK",J82="READY",F82&lt;&gt;"",G82&lt;&gt;"",K82&lt;&gt;"",S82="OK",OR(R82="PASS",R82="FAIL")),"YES","NO"))</x:f>
      </x:c>
      <x:c r="AN82" s="9" t="str">
        <x:f>IF(A82="","",F82&amp;" | "&amp;G82&amp;" | "&amp;H82&amp;" | "&amp;I82)</x:f>
      </x:c>
    </x:row>
    <x:row r="83" ht="33" customHeight="1">
      <x:c r="A83" s="3"/>
      <x:c r="B83" s="3"/>
      <x:c r="C83" s="3"/>
      <x:c r="D83" s="3"/>
      <x:c r="E83" s="3"/>
      <x:c r="F83" s="3"/>
      <x:c r="G83" s="3"/>
      <x:c r="H83" s="3"/>
      <x:c r="I83" s="3"/>
      <x:c r="J83" s="3"/>
      <x:c r="K83" s="3"/>
      <x:c r="L83" s="6"/>
      <x:c r="M83" s="6"/>
      <x:c r="N83" s="6"/>
      <x:c r="O83" s="6"/>
      <x:c r="P83" s="6"/>
      <x:c r="Q83" s="7"/>
      <x:c r="R83" s="7"/>
      <x:c r="S83" s="7"/>
      <x:c r="T83" s="7"/>
      <x:c r="U83" s="7"/>
      <x:c r="V83" s="7"/>
      <x:c r="W83" s="7"/>
      <x:c r="X83" s="7"/>
      <x:c r="Y83" s="7"/>
      <x:c r="Z83" s="7"/>
      <x:c r="AA83" s="7"/>
      <x:c r="AB83" s="7"/>
      <x:c r="AC83" s="7"/>
      <x:c r="AD83" s="7"/>
      <x:c r="AE83" s="3"/>
      <x:c r="AF83" s="3"/>
      <x:c r="AG83" s="3"/>
      <x:c r="AH83" s="3"/>
      <x:c r="AI83" s="3"/>
      <x:c r="AJ83" s="9" t="str">
        <x:f>IF(A83="","",A83&amp;"|"&amp;B83)</x:f>
      </x:c>
      <x:c r="AK83" s="9" t="str">
        <x:f>IF(A83="",IF(B83="","","MISSING_TEST_ID"),IF(B83="","MISSING_RUN_ID",IF(COUNTIFS($A$2:$A$501,A83,$B$2:$B$501,B83)&lt;&gt;1,"DUPLICATE_ID","OK")))</x:f>
      </x:c>
      <x:c r="AL83" s="9" t="str">
        <x:f>IF(A83="","",IF(AND(AK83="OK",J83="READY",F83&lt;&gt;"",G83&lt;&gt;"",K83&lt;&gt;"",OR(L83="PASS",L83="FAIL"),M83&lt;&gt;"",P83="social-publication-v2"),"YES","NO"))</x:f>
      </x:c>
      <x:c r="AM83" s="9" t="str">
        <x:f>IF(A83="","",IF(AND(AK83="OK",J83="READY",F83&lt;&gt;"",G83&lt;&gt;"",K83&lt;&gt;"",S83="OK",OR(R83="PASS",R83="FAIL")),"YES","NO"))</x:f>
      </x:c>
      <x:c r="AN83" s="9" t="str">
        <x:f>IF(A83="","",F83&amp;" | "&amp;G83&amp;" | "&amp;H83&amp;" | "&amp;I83)</x:f>
      </x:c>
    </x:row>
    <x:row r="84" ht="33" customHeight="1">
      <x:c r="A84" s="3"/>
      <x:c r="B84" s="3"/>
      <x:c r="C84" s="3"/>
      <x:c r="D84" s="3"/>
      <x:c r="E84" s="3"/>
      <x:c r="F84" s="3"/>
      <x:c r="G84" s="3"/>
      <x:c r="H84" s="3"/>
      <x:c r="I84" s="3"/>
      <x:c r="J84" s="3"/>
      <x:c r="K84" s="3"/>
      <x:c r="L84" s="6"/>
      <x:c r="M84" s="6"/>
      <x:c r="N84" s="6"/>
      <x:c r="O84" s="6"/>
      <x:c r="P84" s="6"/>
      <x:c r="Q84" s="7"/>
      <x:c r="R84" s="7"/>
      <x:c r="S84" s="7"/>
      <x:c r="T84" s="7"/>
      <x:c r="U84" s="7"/>
      <x:c r="V84" s="7"/>
      <x:c r="W84" s="7"/>
      <x:c r="X84" s="7"/>
      <x:c r="Y84" s="7"/>
      <x:c r="Z84" s="7"/>
      <x:c r="AA84" s="7"/>
      <x:c r="AB84" s="7"/>
      <x:c r="AC84" s="7"/>
      <x:c r="AD84" s="7"/>
      <x:c r="AE84" s="3"/>
      <x:c r="AF84" s="3"/>
      <x:c r="AG84" s="3"/>
      <x:c r="AH84" s="3"/>
      <x:c r="AI84" s="3"/>
      <x:c r="AJ84" s="9" t="str">
        <x:f>IF(A84="","",A84&amp;"|"&amp;B84)</x:f>
      </x:c>
      <x:c r="AK84" s="9" t="str">
        <x:f>IF(A84="",IF(B84="","","MISSING_TEST_ID"),IF(B84="","MISSING_RUN_ID",IF(COUNTIFS($A$2:$A$501,A84,$B$2:$B$501,B84)&lt;&gt;1,"DUPLICATE_ID","OK")))</x:f>
      </x:c>
      <x:c r="AL84" s="9" t="str">
        <x:f>IF(A84="","",IF(AND(AK84="OK",J84="READY",F84&lt;&gt;"",G84&lt;&gt;"",K84&lt;&gt;"",OR(L84="PASS",L84="FAIL"),M84&lt;&gt;"",P84="social-publication-v2"),"YES","NO"))</x:f>
      </x:c>
      <x:c r="AM84" s="9" t="str">
        <x:f>IF(A84="","",IF(AND(AK84="OK",J84="READY",F84&lt;&gt;"",G84&lt;&gt;"",K84&lt;&gt;"",S84="OK",OR(R84="PASS",R84="FAIL")),"YES","NO"))</x:f>
      </x:c>
      <x:c r="AN84" s="9" t="str">
        <x:f>IF(A84="","",F84&amp;" | "&amp;G84&amp;" | "&amp;H84&amp;" | "&amp;I84)</x:f>
      </x:c>
    </x:row>
    <x:row r="85" ht="33" customHeight="1">
      <x:c r="A85" s="3"/>
      <x:c r="B85" s="3"/>
      <x:c r="C85" s="3"/>
      <x:c r="D85" s="3"/>
      <x:c r="E85" s="3"/>
      <x:c r="F85" s="3"/>
      <x:c r="G85" s="3"/>
      <x:c r="H85" s="3"/>
      <x:c r="I85" s="3"/>
      <x:c r="J85" s="3"/>
      <x:c r="K85" s="3"/>
      <x:c r="L85" s="6"/>
      <x:c r="M85" s="6"/>
      <x:c r="N85" s="6"/>
      <x:c r="O85" s="6"/>
      <x:c r="P85" s="6"/>
      <x:c r="Q85" s="7"/>
      <x:c r="R85" s="7"/>
      <x:c r="S85" s="7"/>
      <x:c r="T85" s="7"/>
      <x:c r="U85" s="7"/>
      <x:c r="V85" s="7"/>
      <x:c r="W85" s="7"/>
      <x:c r="X85" s="7"/>
      <x:c r="Y85" s="7"/>
      <x:c r="Z85" s="7"/>
      <x:c r="AA85" s="7"/>
      <x:c r="AB85" s="7"/>
      <x:c r="AC85" s="7"/>
      <x:c r="AD85" s="7"/>
      <x:c r="AE85" s="3"/>
      <x:c r="AF85" s="3"/>
      <x:c r="AG85" s="3"/>
      <x:c r="AH85" s="3"/>
      <x:c r="AI85" s="3"/>
      <x:c r="AJ85" s="9" t="str">
        <x:f>IF(A85="","",A85&amp;"|"&amp;B85)</x:f>
      </x:c>
      <x:c r="AK85" s="9" t="str">
        <x:f>IF(A85="",IF(B85="","","MISSING_TEST_ID"),IF(B85="","MISSING_RUN_ID",IF(COUNTIFS($A$2:$A$501,A85,$B$2:$B$501,B85)&lt;&gt;1,"DUPLICATE_ID","OK")))</x:f>
      </x:c>
      <x:c r="AL85" s="9" t="str">
        <x:f>IF(A85="","",IF(AND(AK85="OK",J85="READY",F85&lt;&gt;"",G85&lt;&gt;"",K85&lt;&gt;"",OR(L85="PASS",L85="FAIL"),M85&lt;&gt;"",P85="social-publication-v2"),"YES","NO"))</x:f>
      </x:c>
      <x:c r="AM85" s="9" t="str">
        <x:f>IF(A85="","",IF(AND(AK85="OK",J85="READY",F85&lt;&gt;"",G85&lt;&gt;"",K85&lt;&gt;"",S85="OK",OR(R85="PASS",R85="FAIL")),"YES","NO"))</x:f>
      </x:c>
      <x:c r="AN85" s="9" t="str">
        <x:f>IF(A85="","",F85&amp;" | "&amp;G85&amp;" | "&amp;H85&amp;" | "&amp;I85)</x:f>
      </x:c>
    </x:row>
    <x:row r="86" ht="33" customHeight="1">
      <x:c r="A86" s="3"/>
      <x:c r="B86" s="3"/>
      <x:c r="C86" s="3"/>
      <x:c r="D86" s="3"/>
      <x:c r="E86" s="3"/>
      <x:c r="F86" s="3"/>
      <x:c r="G86" s="3"/>
      <x:c r="H86" s="3"/>
      <x:c r="I86" s="3"/>
      <x:c r="J86" s="3"/>
      <x:c r="K86" s="3"/>
      <x:c r="L86" s="6"/>
      <x:c r="M86" s="6"/>
      <x:c r="N86" s="6"/>
      <x:c r="O86" s="6"/>
      <x:c r="P86" s="6"/>
      <x:c r="Q86" s="7"/>
      <x:c r="R86" s="7"/>
      <x:c r="S86" s="7"/>
      <x:c r="T86" s="7"/>
      <x:c r="U86" s="7"/>
      <x:c r="V86" s="7"/>
      <x:c r="W86" s="7"/>
      <x:c r="X86" s="7"/>
      <x:c r="Y86" s="7"/>
      <x:c r="Z86" s="7"/>
      <x:c r="AA86" s="7"/>
      <x:c r="AB86" s="7"/>
      <x:c r="AC86" s="7"/>
      <x:c r="AD86" s="7"/>
      <x:c r="AE86" s="3"/>
      <x:c r="AF86" s="3"/>
      <x:c r="AG86" s="3"/>
      <x:c r="AH86" s="3"/>
      <x:c r="AI86" s="3"/>
      <x:c r="AJ86" s="9" t="str">
        <x:f>IF(A86="","",A86&amp;"|"&amp;B86)</x:f>
      </x:c>
      <x:c r="AK86" s="9" t="str">
        <x:f>IF(A86="",IF(B86="","","MISSING_TEST_ID"),IF(B86="","MISSING_RUN_ID",IF(COUNTIFS($A$2:$A$501,A86,$B$2:$B$501,B86)&lt;&gt;1,"DUPLICATE_ID","OK")))</x:f>
      </x:c>
      <x:c r="AL86" s="9" t="str">
        <x:f>IF(A86="","",IF(AND(AK86="OK",J86="READY",F86&lt;&gt;"",G86&lt;&gt;"",K86&lt;&gt;"",OR(L86="PASS",L86="FAIL"),M86&lt;&gt;"",P86="social-publication-v2"),"YES","NO"))</x:f>
      </x:c>
      <x:c r="AM86" s="9" t="str">
        <x:f>IF(A86="","",IF(AND(AK86="OK",J86="READY",F86&lt;&gt;"",G86&lt;&gt;"",K86&lt;&gt;"",S86="OK",OR(R86="PASS",R86="FAIL")),"YES","NO"))</x:f>
      </x:c>
      <x:c r="AN86" s="9" t="str">
        <x:f>IF(A86="","",F86&amp;" | "&amp;G86&amp;" | "&amp;H86&amp;" | "&amp;I86)</x:f>
      </x:c>
    </x:row>
    <x:row r="87" ht="33" customHeight="1">
      <x:c r="A87" s="3"/>
      <x:c r="B87" s="3"/>
      <x:c r="C87" s="3"/>
      <x:c r="D87" s="3"/>
      <x:c r="E87" s="3"/>
      <x:c r="F87" s="3"/>
      <x:c r="G87" s="3"/>
      <x:c r="H87" s="3"/>
      <x:c r="I87" s="3"/>
      <x:c r="J87" s="3"/>
      <x:c r="K87" s="3"/>
      <x:c r="L87" s="6"/>
      <x:c r="M87" s="6"/>
      <x:c r="N87" s="6"/>
      <x:c r="O87" s="6"/>
      <x:c r="P87" s="6"/>
      <x:c r="Q87" s="7"/>
      <x:c r="R87" s="7"/>
      <x:c r="S87" s="7"/>
      <x:c r="T87" s="7"/>
      <x:c r="U87" s="7"/>
      <x:c r="V87" s="7"/>
      <x:c r="W87" s="7"/>
      <x:c r="X87" s="7"/>
      <x:c r="Y87" s="7"/>
      <x:c r="Z87" s="7"/>
      <x:c r="AA87" s="7"/>
      <x:c r="AB87" s="7"/>
      <x:c r="AC87" s="7"/>
      <x:c r="AD87" s="7"/>
      <x:c r="AE87" s="3"/>
      <x:c r="AF87" s="3"/>
      <x:c r="AG87" s="3"/>
      <x:c r="AH87" s="3"/>
      <x:c r="AI87" s="3"/>
      <x:c r="AJ87" s="9" t="str">
        <x:f>IF(A87="","",A87&amp;"|"&amp;B87)</x:f>
      </x:c>
      <x:c r="AK87" s="9" t="str">
        <x:f>IF(A87="",IF(B87="","","MISSING_TEST_ID"),IF(B87="","MISSING_RUN_ID",IF(COUNTIFS($A$2:$A$501,A87,$B$2:$B$501,B87)&lt;&gt;1,"DUPLICATE_ID","OK")))</x:f>
      </x:c>
      <x:c r="AL87" s="9" t="str">
        <x:f>IF(A87="","",IF(AND(AK87="OK",J87="READY",F87&lt;&gt;"",G87&lt;&gt;"",K87&lt;&gt;"",OR(L87="PASS",L87="FAIL"),M87&lt;&gt;"",P87="social-publication-v2"),"YES","NO"))</x:f>
      </x:c>
      <x:c r="AM87" s="9" t="str">
        <x:f>IF(A87="","",IF(AND(AK87="OK",J87="READY",F87&lt;&gt;"",G87&lt;&gt;"",K87&lt;&gt;"",S87="OK",OR(R87="PASS",R87="FAIL")),"YES","NO"))</x:f>
      </x:c>
      <x:c r="AN87" s="9" t="str">
        <x:f>IF(A87="","",F87&amp;" | "&amp;G87&amp;" | "&amp;H87&amp;" | "&amp;I87)</x:f>
      </x:c>
    </x:row>
    <x:row r="88" ht="33" customHeight="1">
      <x:c r="A88" s="3"/>
      <x:c r="B88" s="3"/>
      <x:c r="C88" s="3"/>
      <x:c r="D88" s="3"/>
      <x:c r="E88" s="3"/>
      <x:c r="F88" s="3"/>
      <x:c r="G88" s="3"/>
      <x:c r="H88" s="3"/>
      <x:c r="I88" s="3"/>
      <x:c r="J88" s="3"/>
      <x:c r="K88" s="3"/>
      <x:c r="L88" s="6"/>
      <x:c r="M88" s="6"/>
      <x:c r="N88" s="6"/>
      <x:c r="O88" s="6"/>
      <x:c r="P88" s="6"/>
      <x:c r="Q88" s="7"/>
      <x:c r="R88" s="7"/>
      <x:c r="S88" s="7"/>
      <x:c r="T88" s="7"/>
      <x:c r="U88" s="7"/>
      <x:c r="V88" s="7"/>
      <x:c r="W88" s="7"/>
      <x:c r="X88" s="7"/>
      <x:c r="Y88" s="7"/>
      <x:c r="Z88" s="7"/>
      <x:c r="AA88" s="7"/>
      <x:c r="AB88" s="7"/>
      <x:c r="AC88" s="7"/>
      <x:c r="AD88" s="7"/>
      <x:c r="AE88" s="3"/>
      <x:c r="AF88" s="3"/>
      <x:c r="AG88" s="3"/>
      <x:c r="AH88" s="3"/>
      <x:c r="AI88" s="3"/>
      <x:c r="AJ88" s="9" t="str">
        <x:f>IF(A88="","",A88&amp;"|"&amp;B88)</x:f>
      </x:c>
      <x:c r="AK88" s="9" t="str">
        <x:f>IF(A88="",IF(B88="","","MISSING_TEST_ID"),IF(B88="","MISSING_RUN_ID",IF(COUNTIFS($A$2:$A$501,A88,$B$2:$B$501,B88)&lt;&gt;1,"DUPLICATE_ID","OK")))</x:f>
      </x:c>
      <x:c r="AL88" s="9" t="str">
        <x:f>IF(A88="","",IF(AND(AK88="OK",J88="READY",F88&lt;&gt;"",G88&lt;&gt;"",K88&lt;&gt;"",OR(L88="PASS",L88="FAIL"),M88&lt;&gt;"",P88="social-publication-v2"),"YES","NO"))</x:f>
      </x:c>
      <x:c r="AM88" s="9" t="str">
        <x:f>IF(A88="","",IF(AND(AK88="OK",J88="READY",F88&lt;&gt;"",G88&lt;&gt;"",K88&lt;&gt;"",S88="OK",OR(R88="PASS",R88="FAIL")),"YES","NO"))</x:f>
      </x:c>
      <x:c r="AN88" s="9" t="str">
        <x:f>IF(A88="","",F88&amp;" | "&amp;G88&amp;" | "&amp;H88&amp;" | "&amp;I88)</x:f>
      </x:c>
    </x:row>
    <x:row r="89" ht="33" customHeight="1">
      <x:c r="A89" s="3"/>
      <x:c r="B89" s="3"/>
      <x:c r="C89" s="3"/>
      <x:c r="D89" s="3"/>
      <x:c r="E89" s="3"/>
      <x:c r="F89" s="3"/>
      <x:c r="G89" s="3"/>
      <x:c r="H89" s="3"/>
      <x:c r="I89" s="3"/>
      <x:c r="J89" s="3"/>
      <x:c r="K89" s="3"/>
      <x:c r="L89" s="6"/>
      <x:c r="M89" s="6"/>
      <x:c r="N89" s="6"/>
      <x:c r="O89" s="6"/>
      <x:c r="P89" s="6"/>
      <x:c r="Q89" s="7"/>
      <x:c r="R89" s="7"/>
      <x:c r="S89" s="7"/>
      <x:c r="T89" s="7"/>
      <x:c r="U89" s="7"/>
      <x:c r="V89" s="7"/>
      <x:c r="W89" s="7"/>
      <x:c r="X89" s="7"/>
      <x:c r="Y89" s="7"/>
      <x:c r="Z89" s="7"/>
      <x:c r="AA89" s="7"/>
      <x:c r="AB89" s="7"/>
      <x:c r="AC89" s="7"/>
      <x:c r="AD89" s="7"/>
      <x:c r="AE89" s="3"/>
      <x:c r="AF89" s="3"/>
      <x:c r="AG89" s="3"/>
      <x:c r="AH89" s="3"/>
      <x:c r="AI89" s="3"/>
      <x:c r="AJ89" s="9" t="str">
        <x:f>IF(A89="","",A89&amp;"|"&amp;B89)</x:f>
      </x:c>
      <x:c r="AK89" s="9" t="str">
        <x:f>IF(A89="",IF(B89="","","MISSING_TEST_ID"),IF(B89="","MISSING_RUN_ID",IF(COUNTIFS($A$2:$A$501,A89,$B$2:$B$501,B89)&lt;&gt;1,"DUPLICATE_ID","OK")))</x:f>
      </x:c>
      <x:c r="AL89" s="9" t="str">
        <x:f>IF(A89="","",IF(AND(AK89="OK",J89="READY",F89&lt;&gt;"",G89&lt;&gt;"",K89&lt;&gt;"",OR(L89="PASS",L89="FAIL"),M89&lt;&gt;"",P89="social-publication-v2"),"YES","NO"))</x:f>
      </x:c>
      <x:c r="AM89" s="9" t="str">
        <x:f>IF(A89="","",IF(AND(AK89="OK",J89="READY",F89&lt;&gt;"",G89&lt;&gt;"",K89&lt;&gt;"",S89="OK",OR(R89="PASS",R89="FAIL")),"YES","NO"))</x:f>
      </x:c>
      <x:c r="AN89" s="9" t="str">
        <x:f>IF(A89="","",F89&amp;" | "&amp;G89&amp;" | "&amp;H89&amp;" | "&amp;I89)</x:f>
      </x:c>
    </x:row>
    <x:row r="90" ht="33" customHeight="1">
      <x:c r="A90" s="3"/>
      <x:c r="B90" s="3"/>
      <x:c r="C90" s="3"/>
      <x:c r="D90" s="3"/>
      <x:c r="E90" s="3"/>
      <x:c r="F90" s="3"/>
      <x:c r="G90" s="3"/>
      <x:c r="H90" s="3"/>
      <x:c r="I90" s="3"/>
      <x:c r="J90" s="3"/>
      <x:c r="K90" s="3"/>
      <x:c r="L90" s="6"/>
      <x:c r="M90" s="6"/>
      <x:c r="N90" s="6"/>
      <x:c r="O90" s="6"/>
      <x:c r="P90" s="6"/>
      <x:c r="Q90" s="7"/>
      <x:c r="R90" s="7"/>
      <x:c r="S90" s="7"/>
      <x:c r="T90" s="7"/>
      <x:c r="U90" s="7"/>
      <x:c r="V90" s="7"/>
      <x:c r="W90" s="7"/>
      <x:c r="X90" s="7"/>
      <x:c r="Y90" s="7"/>
      <x:c r="Z90" s="7"/>
      <x:c r="AA90" s="7"/>
      <x:c r="AB90" s="7"/>
      <x:c r="AC90" s="7"/>
      <x:c r="AD90" s="7"/>
      <x:c r="AE90" s="3"/>
      <x:c r="AF90" s="3"/>
      <x:c r="AG90" s="3"/>
      <x:c r="AH90" s="3"/>
      <x:c r="AI90" s="3"/>
      <x:c r="AJ90" s="9" t="str">
        <x:f>IF(A90="","",A90&amp;"|"&amp;B90)</x:f>
      </x:c>
      <x:c r="AK90" s="9" t="str">
        <x:f>IF(A90="",IF(B90="","","MISSING_TEST_ID"),IF(B90="","MISSING_RUN_ID",IF(COUNTIFS($A$2:$A$501,A90,$B$2:$B$501,B90)&lt;&gt;1,"DUPLICATE_ID","OK")))</x:f>
      </x:c>
      <x:c r="AL90" s="9" t="str">
        <x:f>IF(A90="","",IF(AND(AK90="OK",J90="READY",F90&lt;&gt;"",G90&lt;&gt;"",K90&lt;&gt;"",OR(L90="PASS",L90="FAIL"),M90&lt;&gt;"",P90="social-publication-v2"),"YES","NO"))</x:f>
      </x:c>
      <x:c r="AM90" s="9" t="str">
        <x:f>IF(A90="","",IF(AND(AK90="OK",J90="READY",F90&lt;&gt;"",G90&lt;&gt;"",K90&lt;&gt;"",S90="OK",OR(R90="PASS",R90="FAIL")),"YES","NO"))</x:f>
      </x:c>
      <x:c r="AN90" s="9" t="str">
        <x:f>IF(A90="","",F90&amp;" | "&amp;G90&amp;" | "&amp;H90&amp;" | "&amp;I90)</x:f>
      </x:c>
    </x:row>
    <x:row r="91" ht="33" customHeight="1">
      <x:c r="A91" s="3"/>
      <x:c r="B91" s="3"/>
      <x:c r="C91" s="3"/>
      <x:c r="D91" s="3"/>
      <x:c r="E91" s="3"/>
      <x:c r="F91" s="3"/>
      <x:c r="G91" s="3"/>
      <x:c r="H91" s="3"/>
      <x:c r="I91" s="3"/>
      <x:c r="J91" s="3"/>
      <x:c r="K91" s="3"/>
      <x:c r="L91" s="6"/>
      <x:c r="M91" s="6"/>
      <x:c r="N91" s="6"/>
      <x:c r="O91" s="6"/>
      <x:c r="P91" s="6"/>
      <x:c r="Q91" s="7"/>
      <x:c r="R91" s="7"/>
      <x:c r="S91" s="7"/>
      <x:c r="T91" s="7"/>
      <x:c r="U91" s="7"/>
      <x:c r="V91" s="7"/>
      <x:c r="W91" s="7"/>
      <x:c r="X91" s="7"/>
      <x:c r="Y91" s="7"/>
      <x:c r="Z91" s="7"/>
      <x:c r="AA91" s="7"/>
      <x:c r="AB91" s="7"/>
      <x:c r="AC91" s="7"/>
      <x:c r="AD91" s="7"/>
      <x:c r="AE91" s="3"/>
      <x:c r="AF91" s="3"/>
      <x:c r="AG91" s="3"/>
      <x:c r="AH91" s="3"/>
      <x:c r="AI91" s="3"/>
      <x:c r="AJ91" s="9" t="str">
        <x:f>IF(A91="","",A91&amp;"|"&amp;B91)</x:f>
      </x:c>
      <x:c r="AK91" s="9" t="str">
        <x:f>IF(A91="",IF(B91="","","MISSING_TEST_ID"),IF(B91="","MISSING_RUN_ID",IF(COUNTIFS($A$2:$A$501,A91,$B$2:$B$501,B91)&lt;&gt;1,"DUPLICATE_ID","OK")))</x:f>
      </x:c>
      <x:c r="AL91" s="9" t="str">
        <x:f>IF(A91="","",IF(AND(AK91="OK",J91="READY",F91&lt;&gt;"",G91&lt;&gt;"",K91&lt;&gt;"",OR(L91="PASS",L91="FAIL"),M91&lt;&gt;"",P91="social-publication-v2"),"YES","NO"))</x:f>
      </x:c>
      <x:c r="AM91" s="9" t="str">
        <x:f>IF(A91="","",IF(AND(AK91="OK",J91="READY",F91&lt;&gt;"",G91&lt;&gt;"",K91&lt;&gt;"",S91="OK",OR(R91="PASS",R91="FAIL")),"YES","NO"))</x:f>
      </x:c>
      <x:c r="AN91" s="9" t="str">
        <x:f>IF(A91="","",F91&amp;" | "&amp;G91&amp;" | "&amp;H91&amp;" | "&amp;I91)</x:f>
      </x:c>
    </x:row>
    <x:row r="92" ht="33" customHeight="1">
      <x:c r="A92" s="3"/>
      <x:c r="B92" s="3"/>
      <x:c r="C92" s="3"/>
      <x:c r="D92" s="3"/>
      <x:c r="E92" s="3"/>
      <x:c r="F92" s="3"/>
      <x:c r="G92" s="3"/>
      <x:c r="H92" s="3"/>
      <x:c r="I92" s="3"/>
      <x:c r="J92" s="3"/>
      <x:c r="K92" s="3"/>
      <x:c r="L92" s="6"/>
      <x:c r="M92" s="6"/>
      <x:c r="N92" s="6"/>
      <x:c r="O92" s="6"/>
      <x:c r="P92" s="6"/>
      <x:c r="Q92" s="7"/>
      <x:c r="R92" s="7"/>
      <x:c r="S92" s="7"/>
      <x:c r="T92" s="7"/>
      <x:c r="U92" s="7"/>
      <x:c r="V92" s="7"/>
      <x:c r="W92" s="7"/>
      <x:c r="X92" s="7"/>
      <x:c r="Y92" s="7"/>
      <x:c r="Z92" s="7"/>
      <x:c r="AA92" s="7"/>
      <x:c r="AB92" s="7"/>
      <x:c r="AC92" s="7"/>
      <x:c r="AD92" s="7"/>
      <x:c r="AE92" s="3"/>
      <x:c r="AF92" s="3"/>
      <x:c r="AG92" s="3"/>
      <x:c r="AH92" s="3"/>
      <x:c r="AI92" s="3"/>
      <x:c r="AJ92" s="9" t="str">
        <x:f>IF(A92="","",A92&amp;"|"&amp;B92)</x:f>
      </x:c>
      <x:c r="AK92" s="9" t="str">
        <x:f>IF(A92="",IF(B92="","","MISSING_TEST_ID"),IF(B92="","MISSING_RUN_ID",IF(COUNTIFS($A$2:$A$501,A92,$B$2:$B$501,B92)&lt;&gt;1,"DUPLICATE_ID","OK")))</x:f>
      </x:c>
      <x:c r="AL92" s="9" t="str">
        <x:f>IF(A92="","",IF(AND(AK92="OK",J92="READY",F92&lt;&gt;"",G92&lt;&gt;"",K92&lt;&gt;"",OR(L92="PASS",L92="FAIL"),M92&lt;&gt;"",P92="social-publication-v2"),"YES","NO"))</x:f>
      </x:c>
      <x:c r="AM92" s="9" t="str">
        <x:f>IF(A92="","",IF(AND(AK92="OK",J92="READY",F92&lt;&gt;"",G92&lt;&gt;"",K92&lt;&gt;"",S92="OK",OR(R92="PASS",R92="FAIL")),"YES","NO"))</x:f>
      </x:c>
      <x:c r="AN92" s="9" t="str">
        <x:f>IF(A92="","",F92&amp;" | "&amp;G92&amp;" | "&amp;H92&amp;" | "&amp;I92)</x:f>
      </x:c>
    </x:row>
    <x:row r="93" ht="33" customHeight="1">
      <x:c r="A93" s="3"/>
      <x:c r="B93" s="3"/>
      <x:c r="C93" s="3"/>
      <x:c r="D93" s="3"/>
      <x:c r="E93" s="3"/>
      <x:c r="F93" s="3"/>
      <x:c r="G93" s="3"/>
      <x:c r="H93" s="3"/>
      <x:c r="I93" s="3"/>
      <x:c r="J93" s="3"/>
      <x:c r="K93" s="3"/>
      <x:c r="L93" s="6"/>
      <x:c r="M93" s="6"/>
      <x:c r="N93" s="6"/>
      <x:c r="O93" s="6"/>
      <x:c r="P93" s="6"/>
      <x:c r="Q93" s="7"/>
      <x:c r="R93" s="7"/>
      <x:c r="S93" s="7"/>
      <x:c r="T93" s="7"/>
      <x:c r="U93" s="7"/>
      <x:c r="V93" s="7"/>
      <x:c r="W93" s="7"/>
      <x:c r="X93" s="7"/>
      <x:c r="Y93" s="7"/>
      <x:c r="Z93" s="7"/>
      <x:c r="AA93" s="7"/>
      <x:c r="AB93" s="7"/>
      <x:c r="AC93" s="7"/>
      <x:c r="AD93" s="7"/>
      <x:c r="AE93" s="3"/>
      <x:c r="AF93" s="3"/>
      <x:c r="AG93" s="3"/>
      <x:c r="AH93" s="3"/>
      <x:c r="AI93" s="3"/>
      <x:c r="AJ93" s="9" t="str">
        <x:f>IF(A93="","",A93&amp;"|"&amp;B93)</x:f>
      </x:c>
      <x:c r="AK93" s="9" t="str">
        <x:f>IF(A93="",IF(B93="","","MISSING_TEST_ID"),IF(B93="","MISSING_RUN_ID",IF(COUNTIFS($A$2:$A$501,A93,$B$2:$B$501,B93)&lt;&gt;1,"DUPLICATE_ID","OK")))</x:f>
      </x:c>
      <x:c r="AL93" s="9" t="str">
        <x:f>IF(A93="","",IF(AND(AK93="OK",J93="READY",F93&lt;&gt;"",G93&lt;&gt;"",K93&lt;&gt;"",OR(L93="PASS",L93="FAIL"),M93&lt;&gt;"",P93="social-publication-v2"),"YES","NO"))</x:f>
      </x:c>
      <x:c r="AM93" s="9" t="str">
        <x:f>IF(A93="","",IF(AND(AK93="OK",J93="READY",F93&lt;&gt;"",G93&lt;&gt;"",K93&lt;&gt;"",S93="OK",OR(R93="PASS",R93="FAIL")),"YES","NO"))</x:f>
      </x:c>
      <x:c r="AN93" s="9" t="str">
        <x:f>IF(A93="","",F93&amp;" | "&amp;G93&amp;" | "&amp;H93&amp;" | "&amp;I93)</x:f>
      </x:c>
    </x:row>
    <x:row r="94" ht="33" customHeight="1">
      <x:c r="A94" s="3"/>
      <x:c r="B94" s="3"/>
      <x:c r="C94" s="3"/>
      <x:c r="D94" s="3"/>
      <x:c r="E94" s="3"/>
      <x:c r="F94" s="3"/>
      <x:c r="G94" s="3"/>
      <x:c r="H94" s="3"/>
      <x:c r="I94" s="3"/>
      <x:c r="J94" s="3"/>
      <x:c r="K94" s="3"/>
      <x:c r="L94" s="6"/>
      <x:c r="M94" s="6"/>
      <x:c r="N94" s="6"/>
      <x:c r="O94" s="6"/>
      <x:c r="P94" s="6"/>
      <x:c r="Q94" s="7"/>
      <x:c r="R94" s="7"/>
      <x:c r="S94" s="7"/>
      <x:c r="T94" s="7"/>
      <x:c r="U94" s="7"/>
      <x:c r="V94" s="7"/>
      <x:c r="W94" s="7"/>
      <x:c r="X94" s="7"/>
      <x:c r="Y94" s="7"/>
      <x:c r="Z94" s="7"/>
      <x:c r="AA94" s="7"/>
      <x:c r="AB94" s="7"/>
      <x:c r="AC94" s="7"/>
      <x:c r="AD94" s="7"/>
      <x:c r="AE94" s="3"/>
      <x:c r="AF94" s="3"/>
      <x:c r="AG94" s="3"/>
      <x:c r="AH94" s="3"/>
      <x:c r="AI94" s="3"/>
      <x:c r="AJ94" s="9" t="str">
        <x:f>IF(A94="","",A94&amp;"|"&amp;B94)</x:f>
      </x:c>
      <x:c r="AK94" s="9" t="str">
        <x:f>IF(A94="",IF(B94="","","MISSING_TEST_ID"),IF(B94="","MISSING_RUN_ID",IF(COUNTIFS($A$2:$A$501,A94,$B$2:$B$501,B94)&lt;&gt;1,"DUPLICATE_ID","OK")))</x:f>
      </x:c>
      <x:c r="AL94" s="9" t="str">
        <x:f>IF(A94="","",IF(AND(AK94="OK",J94="READY",F94&lt;&gt;"",G94&lt;&gt;"",K94&lt;&gt;"",OR(L94="PASS",L94="FAIL"),M94&lt;&gt;"",P94="social-publication-v2"),"YES","NO"))</x:f>
      </x:c>
      <x:c r="AM94" s="9" t="str">
        <x:f>IF(A94="","",IF(AND(AK94="OK",J94="READY",F94&lt;&gt;"",G94&lt;&gt;"",K94&lt;&gt;"",S94="OK",OR(R94="PASS",R94="FAIL")),"YES","NO"))</x:f>
      </x:c>
      <x:c r="AN94" s="9" t="str">
        <x:f>IF(A94="","",F94&amp;" | "&amp;G94&amp;" | "&amp;H94&amp;" | "&amp;I94)</x:f>
      </x:c>
    </x:row>
    <x:row r="95" ht="33" customHeight="1">
      <x:c r="A95" s="3"/>
      <x:c r="B95" s="3"/>
      <x:c r="C95" s="3"/>
      <x:c r="D95" s="3"/>
      <x:c r="E95" s="3"/>
      <x:c r="F95" s="3"/>
      <x:c r="G95" s="3"/>
      <x:c r="H95" s="3"/>
      <x:c r="I95" s="3"/>
      <x:c r="J95" s="3"/>
      <x:c r="K95" s="3"/>
      <x:c r="L95" s="6"/>
      <x:c r="M95" s="6"/>
      <x:c r="N95" s="6"/>
      <x:c r="O95" s="6"/>
      <x:c r="P95" s="6"/>
      <x:c r="Q95" s="7"/>
      <x:c r="R95" s="7"/>
      <x:c r="S95" s="7"/>
      <x:c r="T95" s="7"/>
      <x:c r="U95" s="7"/>
      <x:c r="V95" s="7"/>
      <x:c r="W95" s="7"/>
      <x:c r="X95" s="7"/>
      <x:c r="Y95" s="7"/>
      <x:c r="Z95" s="7"/>
      <x:c r="AA95" s="7"/>
      <x:c r="AB95" s="7"/>
      <x:c r="AC95" s="7"/>
      <x:c r="AD95" s="7"/>
      <x:c r="AE95" s="3"/>
      <x:c r="AF95" s="3"/>
      <x:c r="AG95" s="3"/>
      <x:c r="AH95" s="3"/>
      <x:c r="AI95" s="3"/>
      <x:c r="AJ95" s="9" t="str">
        <x:f>IF(A95="","",A95&amp;"|"&amp;B95)</x:f>
      </x:c>
      <x:c r="AK95" s="9" t="str">
        <x:f>IF(A95="",IF(B95="","","MISSING_TEST_ID"),IF(B95="","MISSING_RUN_ID",IF(COUNTIFS($A$2:$A$501,A95,$B$2:$B$501,B95)&lt;&gt;1,"DUPLICATE_ID","OK")))</x:f>
      </x:c>
      <x:c r="AL95" s="9" t="str">
        <x:f>IF(A95="","",IF(AND(AK95="OK",J95="READY",F95&lt;&gt;"",G95&lt;&gt;"",K95&lt;&gt;"",OR(L95="PASS",L95="FAIL"),M95&lt;&gt;"",P95="social-publication-v2"),"YES","NO"))</x:f>
      </x:c>
      <x:c r="AM95" s="9" t="str">
        <x:f>IF(A95="","",IF(AND(AK95="OK",J95="READY",F95&lt;&gt;"",G95&lt;&gt;"",K95&lt;&gt;"",S95="OK",OR(R95="PASS",R95="FAIL")),"YES","NO"))</x:f>
      </x:c>
      <x:c r="AN95" s="9" t="str">
        <x:f>IF(A95="","",F95&amp;" | "&amp;G95&amp;" | "&amp;H95&amp;" | "&amp;I95)</x:f>
      </x:c>
    </x:row>
    <x:row r="96" ht="33" customHeight="1">
      <x:c r="A96" s="3"/>
      <x:c r="B96" s="3"/>
      <x:c r="C96" s="3"/>
      <x:c r="D96" s="3"/>
      <x:c r="E96" s="3"/>
      <x:c r="F96" s="3"/>
      <x:c r="G96" s="3"/>
      <x:c r="H96" s="3"/>
      <x:c r="I96" s="3"/>
      <x:c r="J96" s="3"/>
      <x:c r="K96" s="3"/>
      <x:c r="L96" s="6"/>
      <x:c r="M96" s="6"/>
      <x:c r="N96" s="6"/>
      <x:c r="O96" s="6"/>
      <x:c r="P96" s="6"/>
      <x:c r="Q96" s="7"/>
      <x:c r="R96" s="7"/>
      <x:c r="S96" s="7"/>
      <x:c r="T96" s="7"/>
      <x:c r="U96" s="7"/>
      <x:c r="V96" s="7"/>
      <x:c r="W96" s="7"/>
      <x:c r="X96" s="7"/>
      <x:c r="Y96" s="7"/>
      <x:c r="Z96" s="7"/>
      <x:c r="AA96" s="7"/>
      <x:c r="AB96" s="7"/>
      <x:c r="AC96" s="7"/>
      <x:c r="AD96" s="7"/>
      <x:c r="AE96" s="3"/>
      <x:c r="AF96" s="3"/>
      <x:c r="AG96" s="3"/>
      <x:c r="AH96" s="3"/>
      <x:c r="AI96" s="3"/>
      <x:c r="AJ96" s="9" t="str">
        <x:f>IF(A96="","",A96&amp;"|"&amp;B96)</x:f>
      </x:c>
      <x:c r="AK96" s="9" t="str">
        <x:f>IF(A96="",IF(B96="","","MISSING_TEST_ID"),IF(B96="","MISSING_RUN_ID",IF(COUNTIFS($A$2:$A$501,A96,$B$2:$B$501,B96)&lt;&gt;1,"DUPLICATE_ID","OK")))</x:f>
      </x:c>
      <x:c r="AL96" s="9" t="str">
        <x:f>IF(A96="","",IF(AND(AK96="OK",J96="READY",F96&lt;&gt;"",G96&lt;&gt;"",K96&lt;&gt;"",OR(L96="PASS",L96="FAIL"),M96&lt;&gt;"",P96="social-publication-v2"),"YES","NO"))</x:f>
      </x:c>
      <x:c r="AM96" s="9" t="str">
        <x:f>IF(A96="","",IF(AND(AK96="OK",J96="READY",F96&lt;&gt;"",G96&lt;&gt;"",K96&lt;&gt;"",S96="OK",OR(R96="PASS",R96="FAIL")),"YES","NO"))</x:f>
      </x:c>
      <x:c r="AN96" s="9" t="str">
        <x:f>IF(A96="","",F96&amp;" | "&amp;G96&amp;" | "&amp;H96&amp;" | "&amp;I96)</x:f>
      </x:c>
    </x:row>
    <x:row r="97" ht="33" customHeight="1">
      <x:c r="A97" s="3"/>
      <x:c r="B97" s="3"/>
      <x:c r="C97" s="3"/>
      <x:c r="D97" s="3"/>
      <x:c r="E97" s="3"/>
      <x:c r="F97" s="3"/>
      <x:c r="G97" s="3"/>
      <x:c r="H97" s="3"/>
      <x:c r="I97" s="3"/>
      <x:c r="J97" s="3"/>
      <x:c r="K97" s="3"/>
      <x:c r="L97" s="6"/>
      <x:c r="M97" s="6"/>
      <x:c r="N97" s="6"/>
      <x:c r="O97" s="6"/>
      <x:c r="P97" s="6"/>
      <x:c r="Q97" s="7"/>
      <x:c r="R97" s="7"/>
      <x:c r="S97" s="7"/>
      <x:c r="T97" s="7"/>
      <x:c r="U97" s="7"/>
      <x:c r="V97" s="7"/>
      <x:c r="W97" s="7"/>
      <x:c r="X97" s="7"/>
      <x:c r="Y97" s="7"/>
      <x:c r="Z97" s="7"/>
      <x:c r="AA97" s="7"/>
      <x:c r="AB97" s="7"/>
      <x:c r="AC97" s="7"/>
      <x:c r="AD97" s="7"/>
      <x:c r="AE97" s="3"/>
      <x:c r="AF97" s="3"/>
      <x:c r="AG97" s="3"/>
      <x:c r="AH97" s="3"/>
      <x:c r="AI97" s="3"/>
      <x:c r="AJ97" s="9" t="str">
        <x:f>IF(A97="","",A97&amp;"|"&amp;B97)</x:f>
      </x:c>
      <x:c r="AK97" s="9" t="str">
        <x:f>IF(A97="",IF(B97="","","MISSING_TEST_ID"),IF(B97="","MISSING_RUN_ID",IF(COUNTIFS($A$2:$A$501,A97,$B$2:$B$501,B97)&lt;&gt;1,"DUPLICATE_ID","OK")))</x:f>
      </x:c>
      <x:c r="AL97" s="9" t="str">
        <x:f>IF(A97="","",IF(AND(AK97="OK",J97="READY",F97&lt;&gt;"",G97&lt;&gt;"",K97&lt;&gt;"",OR(L97="PASS",L97="FAIL"),M97&lt;&gt;"",P97="social-publication-v2"),"YES","NO"))</x:f>
      </x:c>
      <x:c r="AM97" s="9" t="str">
        <x:f>IF(A97="","",IF(AND(AK97="OK",J97="READY",F97&lt;&gt;"",G97&lt;&gt;"",K97&lt;&gt;"",S97="OK",OR(R97="PASS",R97="FAIL")),"YES","NO"))</x:f>
      </x:c>
      <x:c r="AN97" s="9" t="str">
        <x:f>IF(A97="","",F97&amp;" | "&amp;G97&amp;" | "&amp;H97&amp;" | "&amp;I97)</x:f>
      </x:c>
    </x:row>
    <x:row r="98" ht="33" customHeight="1">
      <x:c r="A98" s="3"/>
      <x:c r="B98" s="3"/>
      <x:c r="C98" s="3"/>
      <x:c r="D98" s="3"/>
      <x:c r="E98" s="3"/>
      <x:c r="F98" s="3"/>
      <x:c r="G98" s="3"/>
      <x:c r="H98" s="3"/>
      <x:c r="I98" s="3"/>
      <x:c r="J98" s="3"/>
      <x:c r="K98" s="3"/>
      <x:c r="L98" s="6"/>
      <x:c r="M98" s="6"/>
      <x:c r="N98" s="6"/>
      <x:c r="O98" s="6"/>
      <x:c r="P98" s="6"/>
      <x:c r="Q98" s="7"/>
      <x:c r="R98" s="7"/>
      <x:c r="S98" s="7"/>
      <x:c r="T98" s="7"/>
      <x:c r="U98" s="7"/>
      <x:c r="V98" s="7"/>
      <x:c r="W98" s="7"/>
      <x:c r="X98" s="7"/>
      <x:c r="Y98" s="7"/>
      <x:c r="Z98" s="7"/>
      <x:c r="AA98" s="7"/>
      <x:c r="AB98" s="7"/>
      <x:c r="AC98" s="7"/>
      <x:c r="AD98" s="7"/>
      <x:c r="AE98" s="3"/>
      <x:c r="AF98" s="3"/>
      <x:c r="AG98" s="3"/>
      <x:c r="AH98" s="3"/>
      <x:c r="AI98" s="3"/>
      <x:c r="AJ98" s="9" t="str">
        <x:f>IF(A98="","",A98&amp;"|"&amp;B98)</x:f>
      </x:c>
      <x:c r="AK98" s="9" t="str">
        <x:f>IF(A98="",IF(B98="","","MISSING_TEST_ID"),IF(B98="","MISSING_RUN_ID",IF(COUNTIFS($A$2:$A$501,A98,$B$2:$B$501,B98)&lt;&gt;1,"DUPLICATE_ID","OK")))</x:f>
      </x:c>
      <x:c r="AL98" s="9" t="str">
        <x:f>IF(A98="","",IF(AND(AK98="OK",J98="READY",F98&lt;&gt;"",G98&lt;&gt;"",K98&lt;&gt;"",OR(L98="PASS",L98="FAIL"),M98&lt;&gt;"",P98="social-publication-v2"),"YES","NO"))</x:f>
      </x:c>
      <x:c r="AM98" s="9" t="str">
        <x:f>IF(A98="","",IF(AND(AK98="OK",J98="READY",F98&lt;&gt;"",G98&lt;&gt;"",K98&lt;&gt;"",S98="OK",OR(R98="PASS",R98="FAIL")),"YES","NO"))</x:f>
      </x:c>
      <x:c r="AN98" s="9" t="str">
        <x:f>IF(A98="","",F98&amp;" | "&amp;G98&amp;" | "&amp;H98&amp;" | "&amp;I98)</x:f>
      </x:c>
    </x:row>
    <x:row r="99" ht="33" customHeight="1">
      <x:c r="A99" s="3"/>
      <x:c r="B99" s="3"/>
      <x:c r="C99" s="3"/>
      <x:c r="D99" s="3"/>
      <x:c r="E99" s="3"/>
      <x:c r="F99" s="3"/>
      <x:c r="G99" s="3"/>
      <x:c r="H99" s="3"/>
      <x:c r="I99" s="3"/>
      <x:c r="J99" s="3"/>
      <x:c r="K99" s="3"/>
      <x:c r="L99" s="6"/>
      <x:c r="M99" s="6"/>
      <x:c r="N99" s="6"/>
      <x:c r="O99" s="6"/>
      <x:c r="P99" s="6"/>
      <x:c r="Q99" s="7"/>
      <x:c r="R99" s="7"/>
      <x:c r="S99" s="7"/>
      <x:c r="T99" s="7"/>
      <x:c r="U99" s="7"/>
      <x:c r="V99" s="7"/>
      <x:c r="W99" s="7"/>
      <x:c r="X99" s="7"/>
      <x:c r="Y99" s="7"/>
      <x:c r="Z99" s="7"/>
      <x:c r="AA99" s="7"/>
      <x:c r="AB99" s="7"/>
      <x:c r="AC99" s="7"/>
      <x:c r="AD99" s="7"/>
      <x:c r="AE99" s="3"/>
      <x:c r="AF99" s="3"/>
      <x:c r="AG99" s="3"/>
      <x:c r="AH99" s="3"/>
      <x:c r="AI99" s="3"/>
      <x:c r="AJ99" s="9" t="str">
        <x:f>IF(A99="","",A99&amp;"|"&amp;B99)</x:f>
      </x:c>
      <x:c r="AK99" s="9" t="str">
        <x:f>IF(A99="",IF(B99="","","MISSING_TEST_ID"),IF(B99="","MISSING_RUN_ID",IF(COUNTIFS($A$2:$A$501,A99,$B$2:$B$501,B99)&lt;&gt;1,"DUPLICATE_ID","OK")))</x:f>
      </x:c>
      <x:c r="AL99" s="9" t="str">
        <x:f>IF(A99="","",IF(AND(AK99="OK",J99="READY",F99&lt;&gt;"",G99&lt;&gt;"",K99&lt;&gt;"",OR(L99="PASS",L99="FAIL"),M99&lt;&gt;"",P99="social-publication-v2"),"YES","NO"))</x:f>
      </x:c>
      <x:c r="AM99" s="9" t="str">
        <x:f>IF(A99="","",IF(AND(AK99="OK",J99="READY",F99&lt;&gt;"",G99&lt;&gt;"",K99&lt;&gt;"",S99="OK",OR(R99="PASS",R99="FAIL")),"YES","NO"))</x:f>
      </x:c>
      <x:c r="AN99" s="9" t="str">
        <x:f>IF(A99="","",F99&amp;" | "&amp;G99&amp;" | "&amp;H99&amp;" | "&amp;I99)</x:f>
      </x:c>
    </x:row>
    <x:row r="100" ht="33" customHeight="1">
      <x:c r="A100" s="3"/>
      <x:c r="B100" s="3"/>
      <x:c r="C100" s="3"/>
      <x:c r="D100" s="3"/>
      <x:c r="E100" s="3"/>
      <x:c r="F100" s="3"/>
      <x:c r="G100" s="3"/>
      <x:c r="H100" s="3"/>
      <x:c r="I100" s="3"/>
      <x:c r="J100" s="3"/>
      <x:c r="K100" s="3"/>
      <x:c r="L100" s="6"/>
      <x:c r="M100" s="6"/>
      <x:c r="N100" s="6"/>
      <x:c r="O100" s="6"/>
      <x:c r="P100" s="6"/>
      <x:c r="Q100" s="7"/>
      <x:c r="R100" s="7"/>
      <x:c r="S100" s="7"/>
      <x:c r="T100" s="7"/>
      <x:c r="U100" s="7"/>
      <x:c r="V100" s="7"/>
      <x:c r="W100" s="7"/>
      <x:c r="X100" s="7"/>
      <x:c r="Y100" s="7"/>
      <x:c r="Z100" s="7"/>
      <x:c r="AA100" s="7"/>
      <x:c r="AB100" s="7"/>
      <x:c r="AC100" s="7"/>
      <x:c r="AD100" s="7"/>
      <x:c r="AE100" s="3"/>
      <x:c r="AF100" s="3"/>
      <x:c r="AG100" s="3"/>
      <x:c r="AH100" s="3"/>
      <x:c r="AI100" s="3"/>
      <x:c r="AJ100" s="9" t="str">
        <x:f>IF(A100="","",A100&amp;"|"&amp;B100)</x:f>
      </x:c>
      <x:c r="AK100" s="9" t="str">
        <x:f>IF(A100="",IF(B100="","","MISSING_TEST_ID"),IF(B100="","MISSING_RUN_ID",IF(COUNTIFS($A$2:$A$501,A100,$B$2:$B$501,B100)&lt;&gt;1,"DUPLICATE_ID","OK")))</x:f>
      </x:c>
      <x:c r="AL100" s="9" t="str">
        <x:f>IF(A100="","",IF(AND(AK100="OK",J100="READY",F100&lt;&gt;"",G100&lt;&gt;"",K100&lt;&gt;"",OR(L100="PASS",L100="FAIL"),M100&lt;&gt;"",P100="social-publication-v2"),"YES","NO"))</x:f>
      </x:c>
      <x:c r="AM100" s="9" t="str">
        <x:f>IF(A100="","",IF(AND(AK100="OK",J100="READY",F100&lt;&gt;"",G100&lt;&gt;"",K100&lt;&gt;"",S100="OK",OR(R100="PASS",R100="FAIL")),"YES","NO"))</x:f>
      </x:c>
      <x:c r="AN100" s="9" t="str">
        <x:f>IF(A100="","",F100&amp;" | "&amp;G100&amp;" | "&amp;H100&amp;" | "&amp;I100)</x:f>
      </x:c>
    </x:row>
    <x:row r="101" ht="33" customHeight="1">
      <x:c r="A101" s="3"/>
      <x:c r="B101" s="3"/>
      <x:c r="C101" s="3"/>
      <x:c r="D101" s="3"/>
      <x:c r="E101" s="3"/>
      <x:c r="F101" s="3"/>
      <x:c r="G101" s="3"/>
      <x:c r="H101" s="3"/>
      <x:c r="I101" s="3"/>
      <x:c r="J101" s="3"/>
      <x:c r="K101" s="3"/>
      <x:c r="L101" s="6"/>
      <x:c r="M101" s="6"/>
      <x:c r="N101" s="6"/>
      <x:c r="O101" s="6"/>
      <x:c r="P101" s="6"/>
      <x:c r="Q101" s="7"/>
      <x:c r="R101" s="7"/>
      <x:c r="S101" s="7"/>
      <x:c r="T101" s="7"/>
      <x:c r="U101" s="7"/>
      <x:c r="V101" s="7"/>
      <x:c r="W101" s="7"/>
      <x:c r="X101" s="7"/>
      <x:c r="Y101" s="7"/>
      <x:c r="Z101" s="7"/>
      <x:c r="AA101" s="7"/>
      <x:c r="AB101" s="7"/>
      <x:c r="AC101" s="7"/>
      <x:c r="AD101" s="7"/>
      <x:c r="AE101" s="3"/>
      <x:c r="AF101" s="3"/>
      <x:c r="AG101" s="3"/>
      <x:c r="AH101" s="3"/>
      <x:c r="AI101" s="3"/>
      <x:c r="AJ101" s="9" t="str">
        <x:f>IF(A101="","",A101&amp;"|"&amp;B101)</x:f>
      </x:c>
      <x:c r="AK101" s="9" t="str">
        <x:f>IF(A101="",IF(B101="","","MISSING_TEST_ID"),IF(B101="","MISSING_RUN_ID",IF(COUNTIFS($A$2:$A$501,A101,$B$2:$B$501,B101)&lt;&gt;1,"DUPLICATE_ID","OK")))</x:f>
      </x:c>
      <x:c r="AL101" s="9" t="str">
        <x:f>IF(A101="","",IF(AND(AK101="OK",J101="READY",F101&lt;&gt;"",G101&lt;&gt;"",K101&lt;&gt;"",OR(L101="PASS",L101="FAIL"),M101&lt;&gt;"",P101="social-publication-v2"),"YES","NO"))</x:f>
      </x:c>
      <x:c r="AM101" s="9" t="str">
        <x:f>IF(A101="","",IF(AND(AK101="OK",J101="READY",F101&lt;&gt;"",G101&lt;&gt;"",K101&lt;&gt;"",S101="OK",OR(R101="PASS",R101="FAIL")),"YES","NO"))</x:f>
      </x:c>
      <x:c r="AN101" s="9" t="str">
        <x:f>IF(A101="","",F101&amp;" | "&amp;G101&amp;" | "&amp;H101&amp;" | "&amp;I101)</x:f>
      </x:c>
    </x:row>
    <x:row r="102" ht="33" customHeight="1">
      <x:c r="A102" s="3"/>
      <x:c r="B102" s="3"/>
      <x:c r="C102" s="3"/>
      <x:c r="D102" s="3"/>
      <x:c r="E102" s="3"/>
      <x:c r="F102" s="3"/>
      <x:c r="G102" s="3"/>
      <x:c r="H102" s="3"/>
      <x:c r="I102" s="3"/>
      <x:c r="J102" s="3"/>
      <x:c r="K102" s="3"/>
      <x:c r="L102" s="6"/>
      <x:c r="M102" s="6"/>
      <x:c r="N102" s="6"/>
      <x:c r="O102" s="6"/>
      <x:c r="P102" s="6"/>
      <x:c r="Q102" s="7"/>
      <x:c r="R102" s="7"/>
      <x:c r="S102" s="7"/>
      <x:c r="T102" s="7"/>
      <x:c r="U102" s="7"/>
      <x:c r="V102" s="7"/>
      <x:c r="W102" s="7"/>
      <x:c r="X102" s="7"/>
      <x:c r="Y102" s="7"/>
      <x:c r="Z102" s="7"/>
      <x:c r="AA102" s="7"/>
      <x:c r="AB102" s="7"/>
      <x:c r="AC102" s="7"/>
      <x:c r="AD102" s="7"/>
      <x:c r="AE102" s="3"/>
      <x:c r="AF102" s="3"/>
      <x:c r="AG102" s="3"/>
      <x:c r="AH102" s="3"/>
      <x:c r="AI102" s="3"/>
      <x:c r="AJ102" s="9" t="str">
        <x:f>IF(A102="","",A102&amp;"|"&amp;B102)</x:f>
      </x:c>
      <x:c r="AK102" s="9" t="str">
        <x:f>IF(A102="",IF(B102="","","MISSING_TEST_ID"),IF(B102="","MISSING_RUN_ID",IF(COUNTIFS($A$2:$A$501,A102,$B$2:$B$501,B102)&lt;&gt;1,"DUPLICATE_ID","OK")))</x:f>
      </x:c>
      <x:c r="AL102" s="9" t="str">
        <x:f>IF(A102="","",IF(AND(AK102="OK",J102="READY",F102&lt;&gt;"",G102&lt;&gt;"",K102&lt;&gt;"",OR(L102="PASS",L102="FAIL"),M102&lt;&gt;"",P102="social-publication-v2"),"YES","NO"))</x:f>
      </x:c>
      <x:c r="AM102" s="9" t="str">
        <x:f>IF(A102="","",IF(AND(AK102="OK",J102="READY",F102&lt;&gt;"",G102&lt;&gt;"",K102&lt;&gt;"",S102="OK",OR(R102="PASS",R102="FAIL")),"YES","NO"))</x:f>
      </x:c>
      <x:c r="AN102" s="9" t="str">
        <x:f>IF(A102="","",F102&amp;" | "&amp;G102&amp;" | "&amp;H102&amp;" | "&amp;I102)</x:f>
      </x:c>
    </x:row>
    <x:row r="103" ht="33" customHeight="1">
      <x:c r="A103" s="3"/>
      <x:c r="B103" s="3"/>
      <x:c r="C103" s="3"/>
      <x:c r="D103" s="3"/>
      <x:c r="E103" s="3"/>
      <x:c r="F103" s="3"/>
      <x:c r="G103" s="3"/>
      <x:c r="H103" s="3"/>
      <x:c r="I103" s="3"/>
      <x:c r="J103" s="3"/>
      <x:c r="K103" s="3"/>
      <x:c r="L103" s="6"/>
      <x:c r="M103" s="6"/>
      <x:c r="N103" s="6"/>
      <x:c r="O103" s="6"/>
      <x:c r="P103" s="6"/>
      <x:c r="Q103" s="7"/>
      <x:c r="R103" s="7"/>
      <x:c r="S103" s="7"/>
      <x:c r="T103" s="7"/>
      <x:c r="U103" s="7"/>
      <x:c r="V103" s="7"/>
      <x:c r="W103" s="7"/>
      <x:c r="X103" s="7"/>
      <x:c r="Y103" s="7"/>
      <x:c r="Z103" s="7"/>
      <x:c r="AA103" s="7"/>
      <x:c r="AB103" s="7"/>
      <x:c r="AC103" s="7"/>
      <x:c r="AD103" s="7"/>
      <x:c r="AE103" s="3"/>
      <x:c r="AF103" s="3"/>
      <x:c r="AG103" s="3"/>
      <x:c r="AH103" s="3"/>
      <x:c r="AI103" s="3"/>
      <x:c r="AJ103" s="9" t="str">
        <x:f>IF(A103="","",A103&amp;"|"&amp;B103)</x:f>
      </x:c>
      <x:c r="AK103" s="9" t="str">
        <x:f>IF(A103="",IF(B103="","","MISSING_TEST_ID"),IF(B103="","MISSING_RUN_ID",IF(COUNTIFS($A$2:$A$501,A103,$B$2:$B$501,B103)&lt;&gt;1,"DUPLICATE_ID","OK")))</x:f>
      </x:c>
      <x:c r="AL103" s="9" t="str">
        <x:f>IF(A103="","",IF(AND(AK103="OK",J103="READY",F103&lt;&gt;"",G103&lt;&gt;"",K103&lt;&gt;"",OR(L103="PASS",L103="FAIL"),M103&lt;&gt;"",P103="social-publication-v2"),"YES","NO"))</x:f>
      </x:c>
      <x:c r="AM103" s="9" t="str">
        <x:f>IF(A103="","",IF(AND(AK103="OK",J103="READY",F103&lt;&gt;"",G103&lt;&gt;"",K103&lt;&gt;"",S103="OK",OR(R103="PASS",R103="FAIL")),"YES","NO"))</x:f>
      </x:c>
      <x:c r="AN103" s="9" t="str">
        <x:f>IF(A103="","",F103&amp;" | "&amp;G103&amp;" | "&amp;H103&amp;" | "&amp;I103)</x:f>
      </x:c>
    </x:row>
    <x:row r="104" ht="33" customHeight="1">
      <x:c r="A104" s="3"/>
      <x:c r="B104" s="3"/>
      <x:c r="C104" s="3"/>
      <x:c r="D104" s="3"/>
      <x:c r="E104" s="3"/>
      <x:c r="F104" s="3"/>
      <x:c r="G104" s="3"/>
      <x:c r="H104" s="3"/>
      <x:c r="I104" s="3"/>
      <x:c r="J104" s="3"/>
      <x:c r="K104" s="3"/>
      <x:c r="L104" s="6"/>
      <x:c r="M104" s="6"/>
      <x:c r="N104" s="6"/>
      <x:c r="O104" s="6"/>
      <x:c r="P104" s="6"/>
      <x:c r="Q104" s="7"/>
      <x:c r="R104" s="7"/>
      <x:c r="S104" s="7"/>
      <x:c r="T104" s="7"/>
      <x:c r="U104" s="7"/>
      <x:c r="V104" s="7"/>
      <x:c r="W104" s="7"/>
      <x:c r="X104" s="7"/>
      <x:c r="Y104" s="7"/>
      <x:c r="Z104" s="7"/>
      <x:c r="AA104" s="7"/>
      <x:c r="AB104" s="7"/>
      <x:c r="AC104" s="7"/>
      <x:c r="AD104" s="7"/>
      <x:c r="AE104" s="3"/>
      <x:c r="AF104" s="3"/>
      <x:c r="AG104" s="3"/>
      <x:c r="AH104" s="3"/>
      <x:c r="AI104" s="3"/>
      <x:c r="AJ104" s="9" t="str">
        <x:f>IF(A104="","",A104&amp;"|"&amp;B104)</x:f>
      </x:c>
      <x:c r="AK104" s="9" t="str">
        <x:f>IF(A104="",IF(B104="","","MISSING_TEST_ID"),IF(B104="","MISSING_RUN_ID",IF(COUNTIFS($A$2:$A$501,A104,$B$2:$B$501,B104)&lt;&gt;1,"DUPLICATE_ID","OK")))</x:f>
      </x:c>
      <x:c r="AL104" s="9" t="str">
        <x:f>IF(A104="","",IF(AND(AK104="OK",J104="READY",F104&lt;&gt;"",G104&lt;&gt;"",K104&lt;&gt;"",OR(L104="PASS",L104="FAIL"),M104&lt;&gt;"",P104="social-publication-v2"),"YES","NO"))</x:f>
      </x:c>
      <x:c r="AM104" s="9" t="str">
        <x:f>IF(A104="","",IF(AND(AK104="OK",J104="READY",F104&lt;&gt;"",G104&lt;&gt;"",K104&lt;&gt;"",S104="OK",OR(R104="PASS",R104="FAIL")),"YES","NO"))</x:f>
      </x:c>
      <x:c r="AN104" s="9" t="str">
        <x:f>IF(A104="","",F104&amp;" | "&amp;G104&amp;" | "&amp;H104&amp;" | "&amp;I104)</x:f>
      </x:c>
    </x:row>
    <x:row r="105" ht="33" customHeight="1">
      <x:c r="A105" s="3"/>
      <x:c r="B105" s="3"/>
      <x:c r="C105" s="3"/>
      <x:c r="D105" s="3"/>
      <x:c r="E105" s="3"/>
      <x:c r="F105" s="3"/>
      <x:c r="G105" s="3"/>
      <x:c r="H105" s="3"/>
      <x:c r="I105" s="3"/>
      <x:c r="J105" s="3"/>
      <x:c r="K105" s="3"/>
      <x:c r="L105" s="6"/>
      <x:c r="M105" s="6"/>
      <x:c r="N105" s="6"/>
      <x:c r="O105" s="6"/>
      <x:c r="P105" s="6"/>
      <x:c r="Q105" s="7"/>
      <x:c r="R105" s="7"/>
      <x:c r="S105" s="7"/>
      <x:c r="T105" s="7"/>
      <x:c r="U105" s="7"/>
      <x:c r="V105" s="7"/>
      <x:c r="W105" s="7"/>
      <x:c r="X105" s="7"/>
      <x:c r="Y105" s="7"/>
      <x:c r="Z105" s="7"/>
      <x:c r="AA105" s="7"/>
      <x:c r="AB105" s="7"/>
      <x:c r="AC105" s="7"/>
      <x:c r="AD105" s="7"/>
      <x:c r="AE105" s="3"/>
      <x:c r="AF105" s="3"/>
      <x:c r="AG105" s="3"/>
      <x:c r="AH105" s="3"/>
      <x:c r="AI105" s="3"/>
      <x:c r="AJ105" s="9" t="str">
        <x:f>IF(A105="","",A105&amp;"|"&amp;B105)</x:f>
      </x:c>
      <x:c r="AK105" s="9" t="str">
        <x:f>IF(A105="",IF(B105="","","MISSING_TEST_ID"),IF(B105="","MISSING_RUN_ID",IF(COUNTIFS($A$2:$A$501,A105,$B$2:$B$501,B105)&lt;&gt;1,"DUPLICATE_ID","OK")))</x:f>
      </x:c>
      <x:c r="AL105" s="9" t="str">
        <x:f>IF(A105="","",IF(AND(AK105="OK",J105="READY",F105&lt;&gt;"",G105&lt;&gt;"",K105&lt;&gt;"",OR(L105="PASS",L105="FAIL"),M105&lt;&gt;"",P105="social-publication-v2"),"YES","NO"))</x:f>
      </x:c>
      <x:c r="AM105" s="9" t="str">
        <x:f>IF(A105="","",IF(AND(AK105="OK",J105="READY",F105&lt;&gt;"",G105&lt;&gt;"",K105&lt;&gt;"",S105="OK",OR(R105="PASS",R105="FAIL")),"YES","NO"))</x:f>
      </x:c>
      <x:c r="AN105" s="9" t="str">
        <x:f>IF(A105="","",F105&amp;" | "&amp;G105&amp;" | "&amp;H105&amp;" | "&amp;I105)</x:f>
      </x:c>
    </x:row>
    <x:row r="106" ht="33" customHeight="1">
      <x:c r="A106" s="3"/>
      <x:c r="B106" s="3"/>
      <x:c r="C106" s="3"/>
      <x:c r="D106" s="3"/>
      <x:c r="E106" s="3"/>
      <x:c r="F106" s="3"/>
      <x:c r="G106" s="3"/>
      <x:c r="H106" s="3"/>
      <x:c r="I106" s="3"/>
      <x:c r="J106" s="3"/>
      <x:c r="K106" s="3"/>
      <x:c r="L106" s="6"/>
      <x:c r="M106" s="6"/>
      <x:c r="N106" s="6"/>
      <x:c r="O106" s="6"/>
      <x:c r="P106" s="6"/>
      <x:c r="Q106" s="7"/>
      <x:c r="R106" s="7"/>
      <x:c r="S106" s="7"/>
      <x:c r="T106" s="7"/>
      <x:c r="U106" s="7"/>
      <x:c r="V106" s="7"/>
      <x:c r="W106" s="7"/>
      <x:c r="X106" s="7"/>
      <x:c r="Y106" s="7"/>
      <x:c r="Z106" s="7"/>
      <x:c r="AA106" s="7"/>
      <x:c r="AB106" s="7"/>
      <x:c r="AC106" s="7"/>
      <x:c r="AD106" s="7"/>
      <x:c r="AE106" s="3"/>
      <x:c r="AF106" s="3"/>
      <x:c r="AG106" s="3"/>
      <x:c r="AH106" s="3"/>
      <x:c r="AI106" s="3"/>
      <x:c r="AJ106" s="9" t="str">
        <x:f>IF(A106="","",A106&amp;"|"&amp;B106)</x:f>
      </x:c>
      <x:c r="AK106" s="9" t="str">
        <x:f>IF(A106="",IF(B106="","","MISSING_TEST_ID"),IF(B106="","MISSING_RUN_ID",IF(COUNTIFS($A$2:$A$501,A106,$B$2:$B$501,B106)&lt;&gt;1,"DUPLICATE_ID","OK")))</x:f>
      </x:c>
      <x:c r="AL106" s="9" t="str">
        <x:f>IF(A106="","",IF(AND(AK106="OK",J106="READY",F106&lt;&gt;"",G106&lt;&gt;"",K106&lt;&gt;"",OR(L106="PASS",L106="FAIL"),M106&lt;&gt;"",P106="social-publication-v2"),"YES","NO"))</x:f>
      </x:c>
      <x:c r="AM106" s="9" t="str">
        <x:f>IF(A106="","",IF(AND(AK106="OK",J106="READY",F106&lt;&gt;"",G106&lt;&gt;"",K106&lt;&gt;"",S106="OK",OR(R106="PASS",R106="FAIL")),"YES","NO"))</x:f>
      </x:c>
      <x:c r="AN106" s="9" t="str">
        <x:f>IF(A106="","",F106&amp;" | "&amp;G106&amp;" | "&amp;H106&amp;" | "&amp;I106)</x:f>
      </x:c>
    </x:row>
    <x:row r="107" ht="33" customHeight="1">
      <x:c r="A107" s="3"/>
      <x:c r="B107" s="3"/>
      <x:c r="C107" s="3"/>
      <x:c r="D107" s="3"/>
      <x:c r="E107" s="3"/>
      <x:c r="F107" s="3"/>
      <x:c r="G107" s="3"/>
      <x:c r="H107" s="3"/>
      <x:c r="I107" s="3"/>
      <x:c r="J107" s="3"/>
      <x:c r="K107" s="3"/>
      <x:c r="L107" s="6"/>
      <x:c r="M107" s="6"/>
      <x:c r="N107" s="6"/>
      <x:c r="O107" s="6"/>
      <x:c r="P107" s="6"/>
      <x:c r="Q107" s="7"/>
      <x:c r="R107" s="7"/>
      <x:c r="S107" s="7"/>
      <x:c r="T107" s="7"/>
      <x:c r="U107" s="7"/>
      <x:c r="V107" s="7"/>
      <x:c r="W107" s="7"/>
      <x:c r="X107" s="7"/>
      <x:c r="Y107" s="7"/>
      <x:c r="Z107" s="7"/>
      <x:c r="AA107" s="7"/>
      <x:c r="AB107" s="7"/>
      <x:c r="AC107" s="7"/>
      <x:c r="AD107" s="7"/>
      <x:c r="AE107" s="3"/>
      <x:c r="AF107" s="3"/>
      <x:c r="AG107" s="3"/>
      <x:c r="AH107" s="3"/>
      <x:c r="AI107" s="3"/>
      <x:c r="AJ107" s="9" t="str">
        <x:f>IF(A107="","",A107&amp;"|"&amp;B107)</x:f>
      </x:c>
      <x:c r="AK107" s="9" t="str">
        <x:f>IF(A107="",IF(B107="","","MISSING_TEST_ID"),IF(B107="","MISSING_RUN_ID",IF(COUNTIFS($A$2:$A$501,A107,$B$2:$B$501,B107)&lt;&gt;1,"DUPLICATE_ID","OK")))</x:f>
      </x:c>
      <x:c r="AL107" s="9" t="str">
        <x:f>IF(A107="","",IF(AND(AK107="OK",J107="READY",F107&lt;&gt;"",G107&lt;&gt;"",K107&lt;&gt;"",OR(L107="PASS",L107="FAIL"),M107&lt;&gt;"",P107="social-publication-v2"),"YES","NO"))</x:f>
      </x:c>
      <x:c r="AM107" s="9" t="str">
        <x:f>IF(A107="","",IF(AND(AK107="OK",J107="READY",F107&lt;&gt;"",G107&lt;&gt;"",K107&lt;&gt;"",S107="OK",OR(R107="PASS",R107="FAIL")),"YES","NO"))</x:f>
      </x:c>
      <x:c r="AN107" s="9" t="str">
        <x:f>IF(A107="","",F107&amp;" | "&amp;G107&amp;" | "&amp;H107&amp;" | "&amp;I107)</x:f>
      </x:c>
    </x:row>
    <x:row r="108" ht="33" customHeight="1">
      <x:c r="A108" s="3"/>
      <x:c r="B108" s="3"/>
      <x:c r="C108" s="3"/>
      <x:c r="D108" s="3"/>
      <x:c r="E108" s="3"/>
      <x:c r="F108" s="3"/>
      <x:c r="G108" s="3"/>
      <x:c r="H108" s="3"/>
      <x:c r="I108" s="3"/>
      <x:c r="J108" s="3"/>
      <x:c r="K108" s="3"/>
      <x:c r="L108" s="6"/>
      <x:c r="M108" s="6"/>
      <x:c r="N108" s="6"/>
      <x:c r="O108" s="6"/>
      <x:c r="P108" s="6"/>
      <x:c r="Q108" s="7"/>
      <x:c r="R108" s="7"/>
      <x:c r="S108" s="7"/>
      <x:c r="T108" s="7"/>
      <x:c r="U108" s="7"/>
      <x:c r="V108" s="7"/>
      <x:c r="W108" s="7"/>
      <x:c r="X108" s="7"/>
      <x:c r="Y108" s="7"/>
      <x:c r="Z108" s="7"/>
      <x:c r="AA108" s="7"/>
      <x:c r="AB108" s="7"/>
      <x:c r="AC108" s="7"/>
      <x:c r="AD108" s="7"/>
      <x:c r="AE108" s="3"/>
      <x:c r="AF108" s="3"/>
      <x:c r="AG108" s="3"/>
      <x:c r="AH108" s="3"/>
      <x:c r="AI108" s="3"/>
      <x:c r="AJ108" s="9" t="str">
        <x:f>IF(A108="","",A108&amp;"|"&amp;B108)</x:f>
      </x:c>
      <x:c r="AK108" s="9" t="str">
        <x:f>IF(A108="",IF(B108="","","MISSING_TEST_ID"),IF(B108="","MISSING_RUN_ID",IF(COUNTIFS($A$2:$A$501,A108,$B$2:$B$501,B108)&lt;&gt;1,"DUPLICATE_ID","OK")))</x:f>
      </x:c>
      <x:c r="AL108" s="9" t="str">
        <x:f>IF(A108="","",IF(AND(AK108="OK",J108="READY",F108&lt;&gt;"",G108&lt;&gt;"",K108&lt;&gt;"",OR(L108="PASS",L108="FAIL"),M108&lt;&gt;"",P108="social-publication-v2"),"YES","NO"))</x:f>
      </x:c>
      <x:c r="AM108" s="9" t="str">
        <x:f>IF(A108="","",IF(AND(AK108="OK",J108="READY",F108&lt;&gt;"",G108&lt;&gt;"",K108&lt;&gt;"",S108="OK",OR(R108="PASS",R108="FAIL")),"YES","NO"))</x:f>
      </x:c>
      <x:c r="AN108" s="9" t="str">
        <x:f>IF(A108="","",F108&amp;" | "&amp;G108&amp;" | "&amp;H108&amp;" | "&amp;I108)</x:f>
      </x:c>
    </x:row>
    <x:row r="109" ht="33" customHeight="1">
      <x:c r="A109" s="3"/>
      <x:c r="B109" s="3"/>
      <x:c r="C109" s="3"/>
      <x:c r="D109" s="3"/>
      <x:c r="E109" s="3"/>
      <x:c r="F109" s="3"/>
      <x:c r="G109" s="3"/>
      <x:c r="H109" s="3"/>
      <x:c r="I109" s="3"/>
      <x:c r="J109" s="3"/>
      <x:c r="K109" s="3"/>
      <x:c r="L109" s="6"/>
      <x:c r="M109" s="6"/>
      <x:c r="N109" s="6"/>
      <x:c r="O109" s="6"/>
      <x:c r="P109" s="6"/>
      <x:c r="Q109" s="7"/>
      <x:c r="R109" s="7"/>
      <x:c r="S109" s="7"/>
      <x:c r="T109" s="7"/>
      <x:c r="U109" s="7"/>
      <x:c r="V109" s="7"/>
      <x:c r="W109" s="7"/>
      <x:c r="X109" s="7"/>
      <x:c r="Y109" s="7"/>
      <x:c r="Z109" s="7"/>
      <x:c r="AA109" s="7"/>
      <x:c r="AB109" s="7"/>
      <x:c r="AC109" s="7"/>
      <x:c r="AD109" s="7"/>
      <x:c r="AE109" s="3"/>
      <x:c r="AF109" s="3"/>
      <x:c r="AG109" s="3"/>
      <x:c r="AH109" s="3"/>
      <x:c r="AI109" s="3"/>
      <x:c r="AJ109" s="9" t="str">
        <x:f>IF(A109="","",A109&amp;"|"&amp;B109)</x:f>
      </x:c>
      <x:c r="AK109" s="9" t="str">
        <x:f>IF(A109="",IF(B109="","","MISSING_TEST_ID"),IF(B109="","MISSING_RUN_ID",IF(COUNTIFS($A$2:$A$501,A109,$B$2:$B$501,B109)&lt;&gt;1,"DUPLICATE_ID","OK")))</x:f>
      </x:c>
      <x:c r="AL109" s="9" t="str">
        <x:f>IF(A109="","",IF(AND(AK109="OK",J109="READY",F109&lt;&gt;"",G109&lt;&gt;"",K109&lt;&gt;"",OR(L109="PASS",L109="FAIL"),M109&lt;&gt;"",P109="social-publication-v2"),"YES","NO"))</x:f>
      </x:c>
      <x:c r="AM109" s="9" t="str">
        <x:f>IF(A109="","",IF(AND(AK109="OK",J109="READY",F109&lt;&gt;"",G109&lt;&gt;"",K109&lt;&gt;"",S109="OK",OR(R109="PASS",R109="FAIL")),"YES","NO"))</x:f>
      </x:c>
      <x:c r="AN109" s="9" t="str">
        <x:f>IF(A109="","",F109&amp;" | "&amp;G109&amp;" | "&amp;H109&amp;" | "&amp;I109)</x:f>
      </x:c>
    </x:row>
    <x:row r="110" ht="33" customHeight="1">
      <x:c r="A110" s="3"/>
      <x:c r="B110" s="3"/>
      <x:c r="C110" s="3"/>
      <x:c r="D110" s="3"/>
      <x:c r="E110" s="3"/>
      <x:c r="F110" s="3"/>
      <x:c r="G110" s="3"/>
      <x:c r="H110" s="3"/>
      <x:c r="I110" s="3"/>
      <x:c r="J110" s="3"/>
      <x:c r="K110" s="3"/>
      <x:c r="L110" s="6"/>
      <x:c r="M110" s="6"/>
      <x:c r="N110" s="6"/>
      <x:c r="O110" s="6"/>
      <x:c r="P110" s="6"/>
      <x:c r="Q110" s="7"/>
      <x:c r="R110" s="7"/>
      <x:c r="S110" s="7"/>
      <x:c r="T110" s="7"/>
      <x:c r="U110" s="7"/>
      <x:c r="V110" s="7"/>
      <x:c r="W110" s="7"/>
      <x:c r="X110" s="7"/>
      <x:c r="Y110" s="7"/>
      <x:c r="Z110" s="7"/>
      <x:c r="AA110" s="7"/>
      <x:c r="AB110" s="7"/>
      <x:c r="AC110" s="7"/>
      <x:c r="AD110" s="7"/>
      <x:c r="AE110" s="3"/>
      <x:c r="AF110" s="3"/>
      <x:c r="AG110" s="3"/>
      <x:c r="AH110" s="3"/>
      <x:c r="AI110" s="3"/>
      <x:c r="AJ110" s="9" t="str">
        <x:f>IF(A110="","",A110&amp;"|"&amp;B110)</x:f>
      </x:c>
      <x:c r="AK110" s="9" t="str">
        <x:f>IF(A110="",IF(B110="","","MISSING_TEST_ID"),IF(B110="","MISSING_RUN_ID",IF(COUNTIFS($A$2:$A$501,A110,$B$2:$B$501,B110)&lt;&gt;1,"DUPLICATE_ID","OK")))</x:f>
      </x:c>
      <x:c r="AL110" s="9" t="str">
        <x:f>IF(A110="","",IF(AND(AK110="OK",J110="READY",F110&lt;&gt;"",G110&lt;&gt;"",K110&lt;&gt;"",OR(L110="PASS",L110="FAIL"),M110&lt;&gt;"",P110="social-publication-v2"),"YES","NO"))</x:f>
      </x:c>
      <x:c r="AM110" s="9" t="str">
        <x:f>IF(A110="","",IF(AND(AK110="OK",J110="READY",F110&lt;&gt;"",G110&lt;&gt;"",K110&lt;&gt;"",S110="OK",OR(R110="PASS",R110="FAIL")),"YES","NO"))</x:f>
      </x:c>
      <x:c r="AN110" s="9" t="str">
        <x:f>IF(A110="","",F110&amp;" | "&amp;G110&amp;" | "&amp;H110&amp;" | "&amp;I110)</x:f>
      </x:c>
    </x:row>
    <x:row r="111" ht="33" customHeight="1">
      <x:c r="A111" s="3"/>
      <x:c r="B111" s="3"/>
      <x:c r="C111" s="3"/>
      <x:c r="D111" s="3"/>
      <x:c r="E111" s="3"/>
      <x:c r="F111" s="3"/>
      <x:c r="G111" s="3"/>
      <x:c r="H111" s="3"/>
      <x:c r="I111" s="3"/>
      <x:c r="J111" s="3"/>
      <x:c r="K111" s="3"/>
      <x:c r="L111" s="6"/>
      <x:c r="M111" s="6"/>
      <x:c r="N111" s="6"/>
      <x:c r="O111" s="6"/>
      <x:c r="P111" s="6"/>
      <x:c r="Q111" s="7"/>
      <x:c r="R111" s="7"/>
      <x:c r="S111" s="7"/>
      <x:c r="T111" s="7"/>
      <x:c r="U111" s="7"/>
      <x:c r="V111" s="7"/>
      <x:c r="W111" s="7"/>
      <x:c r="X111" s="7"/>
      <x:c r="Y111" s="7"/>
      <x:c r="Z111" s="7"/>
      <x:c r="AA111" s="7"/>
      <x:c r="AB111" s="7"/>
      <x:c r="AC111" s="7"/>
      <x:c r="AD111" s="7"/>
      <x:c r="AE111" s="3"/>
      <x:c r="AF111" s="3"/>
      <x:c r="AG111" s="3"/>
      <x:c r="AH111" s="3"/>
      <x:c r="AI111" s="3"/>
      <x:c r="AJ111" s="9" t="str">
        <x:f>IF(A111="","",A111&amp;"|"&amp;B111)</x:f>
      </x:c>
      <x:c r="AK111" s="9" t="str">
        <x:f>IF(A111="",IF(B111="","","MISSING_TEST_ID"),IF(B111="","MISSING_RUN_ID",IF(COUNTIFS($A$2:$A$501,A111,$B$2:$B$501,B111)&lt;&gt;1,"DUPLICATE_ID","OK")))</x:f>
      </x:c>
      <x:c r="AL111" s="9" t="str">
        <x:f>IF(A111="","",IF(AND(AK111="OK",J111="READY",F111&lt;&gt;"",G111&lt;&gt;"",K111&lt;&gt;"",OR(L111="PASS",L111="FAIL"),M111&lt;&gt;"",P111="social-publication-v2"),"YES","NO"))</x:f>
      </x:c>
      <x:c r="AM111" s="9" t="str">
        <x:f>IF(A111="","",IF(AND(AK111="OK",J111="READY",F111&lt;&gt;"",G111&lt;&gt;"",K111&lt;&gt;"",S111="OK",OR(R111="PASS",R111="FAIL")),"YES","NO"))</x:f>
      </x:c>
      <x:c r="AN111" s="9" t="str">
        <x:f>IF(A111="","",F111&amp;" | "&amp;G111&amp;" | "&amp;H111&amp;" | "&amp;I111)</x:f>
      </x:c>
    </x:row>
    <x:row r="112" ht="33" customHeight="1">
      <x:c r="A112" s="3"/>
      <x:c r="B112" s="3"/>
      <x:c r="C112" s="3"/>
      <x:c r="D112" s="3"/>
      <x:c r="E112" s="3"/>
      <x:c r="F112" s="3"/>
      <x:c r="G112" s="3"/>
      <x:c r="H112" s="3"/>
      <x:c r="I112" s="3"/>
      <x:c r="J112" s="3"/>
      <x:c r="K112" s="3"/>
      <x:c r="L112" s="6"/>
      <x:c r="M112" s="6"/>
      <x:c r="N112" s="6"/>
      <x:c r="O112" s="6"/>
      <x:c r="P112" s="6"/>
      <x:c r="Q112" s="7"/>
      <x:c r="R112" s="7"/>
      <x:c r="S112" s="7"/>
      <x:c r="T112" s="7"/>
      <x:c r="U112" s="7"/>
      <x:c r="V112" s="7"/>
      <x:c r="W112" s="7"/>
      <x:c r="X112" s="7"/>
      <x:c r="Y112" s="7"/>
      <x:c r="Z112" s="7"/>
      <x:c r="AA112" s="7"/>
      <x:c r="AB112" s="7"/>
      <x:c r="AC112" s="7"/>
      <x:c r="AD112" s="7"/>
      <x:c r="AE112" s="3"/>
      <x:c r="AF112" s="3"/>
      <x:c r="AG112" s="3"/>
      <x:c r="AH112" s="3"/>
      <x:c r="AI112" s="3"/>
      <x:c r="AJ112" s="9" t="str">
        <x:f>IF(A112="","",A112&amp;"|"&amp;B112)</x:f>
      </x:c>
      <x:c r="AK112" s="9" t="str">
        <x:f>IF(A112="",IF(B112="","","MISSING_TEST_ID"),IF(B112="","MISSING_RUN_ID",IF(COUNTIFS($A$2:$A$501,A112,$B$2:$B$501,B112)&lt;&gt;1,"DUPLICATE_ID","OK")))</x:f>
      </x:c>
      <x:c r="AL112" s="9" t="str">
        <x:f>IF(A112="","",IF(AND(AK112="OK",J112="READY",F112&lt;&gt;"",G112&lt;&gt;"",K112&lt;&gt;"",OR(L112="PASS",L112="FAIL"),M112&lt;&gt;"",P112="social-publication-v2"),"YES","NO"))</x:f>
      </x:c>
      <x:c r="AM112" s="9" t="str">
        <x:f>IF(A112="","",IF(AND(AK112="OK",J112="READY",F112&lt;&gt;"",G112&lt;&gt;"",K112&lt;&gt;"",S112="OK",OR(R112="PASS",R112="FAIL")),"YES","NO"))</x:f>
      </x:c>
      <x:c r="AN112" s="9" t="str">
        <x:f>IF(A112="","",F112&amp;" | "&amp;G112&amp;" | "&amp;H112&amp;" | "&amp;I112)</x:f>
      </x:c>
    </x:row>
    <x:row r="113" ht="33" customHeight="1">
      <x:c r="A113" s="3"/>
      <x:c r="B113" s="3"/>
      <x:c r="C113" s="3"/>
      <x:c r="D113" s="3"/>
      <x:c r="E113" s="3"/>
      <x:c r="F113" s="3"/>
      <x:c r="G113" s="3"/>
      <x:c r="H113" s="3"/>
      <x:c r="I113" s="3"/>
      <x:c r="J113" s="3"/>
      <x:c r="K113" s="3"/>
      <x:c r="L113" s="6"/>
      <x:c r="M113" s="6"/>
      <x:c r="N113" s="6"/>
      <x:c r="O113" s="6"/>
      <x:c r="P113" s="6"/>
      <x:c r="Q113" s="7"/>
      <x:c r="R113" s="7"/>
      <x:c r="S113" s="7"/>
      <x:c r="T113" s="7"/>
      <x:c r="U113" s="7"/>
      <x:c r="V113" s="7"/>
      <x:c r="W113" s="7"/>
      <x:c r="X113" s="7"/>
      <x:c r="Y113" s="7"/>
      <x:c r="Z113" s="7"/>
      <x:c r="AA113" s="7"/>
      <x:c r="AB113" s="7"/>
      <x:c r="AC113" s="7"/>
      <x:c r="AD113" s="7"/>
      <x:c r="AE113" s="3"/>
      <x:c r="AF113" s="3"/>
      <x:c r="AG113" s="3"/>
      <x:c r="AH113" s="3"/>
      <x:c r="AI113" s="3"/>
      <x:c r="AJ113" s="9" t="str">
        <x:f>IF(A113="","",A113&amp;"|"&amp;B113)</x:f>
      </x:c>
      <x:c r="AK113" s="9" t="str">
        <x:f>IF(A113="",IF(B113="","","MISSING_TEST_ID"),IF(B113="","MISSING_RUN_ID",IF(COUNTIFS($A$2:$A$501,A113,$B$2:$B$501,B113)&lt;&gt;1,"DUPLICATE_ID","OK")))</x:f>
      </x:c>
      <x:c r="AL113" s="9" t="str">
        <x:f>IF(A113="","",IF(AND(AK113="OK",J113="READY",F113&lt;&gt;"",G113&lt;&gt;"",K113&lt;&gt;"",OR(L113="PASS",L113="FAIL"),M113&lt;&gt;"",P113="social-publication-v2"),"YES","NO"))</x:f>
      </x:c>
      <x:c r="AM113" s="9" t="str">
        <x:f>IF(A113="","",IF(AND(AK113="OK",J113="READY",F113&lt;&gt;"",G113&lt;&gt;"",K113&lt;&gt;"",S113="OK",OR(R113="PASS",R113="FAIL")),"YES","NO"))</x:f>
      </x:c>
      <x:c r="AN113" s="9" t="str">
        <x:f>IF(A113="","",F113&amp;" | "&amp;G113&amp;" | "&amp;H113&amp;" | "&amp;I113)</x:f>
      </x:c>
    </x:row>
    <x:row r="114" ht="33" customHeight="1">
      <x:c r="A114" s="3"/>
      <x:c r="B114" s="3"/>
      <x:c r="C114" s="3"/>
      <x:c r="D114" s="3"/>
      <x:c r="E114" s="3"/>
      <x:c r="F114" s="3"/>
      <x:c r="G114" s="3"/>
      <x:c r="H114" s="3"/>
      <x:c r="I114" s="3"/>
      <x:c r="J114" s="3"/>
      <x:c r="K114" s="3"/>
      <x:c r="L114" s="6"/>
      <x:c r="M114" s="6"/>
      <x:c r="N114" s="6"/>
      <x:c r="O114" s="6"/>
      <x:c r="P114" s="6"/>
      <x:c r="Q114" s="7"/>
      <x:c r="R114" s="7"/>
      <x:c r="S114" s="7"/>
      <x:c r="T114" s="7"/>
      <x:c r="U114" s="7"/>
      <x:c r="V114" s="7"/>
      <x:c r="W114" s="7"/>
      <x:c r="X114" s="7"/>
      <x:c r="Y114" s="7"/>
      <x:c r="Z114" s="7"/>
      <x:c r="AA114" s="7"/>
      <x:c r="AB114" s="7"/>
      <x:c r="AC114" s="7"/>
      <x:c r="AD114" s="7"/>
      <x:c r="AE114" s="3"/>
      <x:c r="AF114" s="3"/>
      <x:c r="AG114" s="3"/>
      <x:c r="AH114" s="3"/>
      <x:c r="AI114" s="3"/>
      <x:c r="AJ114" s="9" t="str">
        <x:f>IF(A114="","",A114&amp;"|"&amp;B114)</x:f>
      </x:c>
      <x:c r="AK114" s="9" t="str">
        <x:f>IF(A114="",IF(B114="","","MISSING_TEST_ID"),IF(B114="","MISSING_RUN_ID",IF(COUNTIFS($A$2:$A$501,A114,$B$2:$B$501,B114)&lt;&gt;1,"DUPLICATE_ID","OK")))</x:f>
      </x:c>
      <x:c r="AL114" s="9" t="str">
        <x:f>IF(A114="","",IF(AND(AK114="OK",J114="READY",F114&lt;&gt;"",G114&lt;&gt;"",K114&lt;&gt;"",OR(L114="PASS",L114="FAIL"),M114&lt;&gt;"",P114="social-publication-v2"),"YES","NO"))</x:f>
      </x:c>
      <x:c r="AM114" s="9" t="str">
        <x:f>IF(A114="","",IF(AND(AK114="OK",J114="READY",F114&lt;&gt;"",G114&lt;&gt;"",K114&lt;&gt;"",S114="OK",OR(R114="PASS",R114="FAIL")),"YES","NO"))</x:f>
      </x:c>
      <x:c r="AN114" s="9" t="str">
        <x:f>IF(A114="","",F114&amp;" | "&amp;G114&amp;" | "&amp;H114&amp;" | "&amp;I114)</x:f>
      </x:c>
    </x:row>
    <x:row r="115" ht="33" customHeight="1">
      <x:c r="A115" s="3"/>
      <x:c r="B115" s="3"/>
      <x:c r="C115" s="3"/>
      <x:c r="D115" s="3"/>
      <x:c r="E115" s="3"/>
      <x:c r="F115" s="3"/>
      <x:c r="G115" s="3"/>
      <x:c r="H115" s="3"/>
      <x:c r="I115" s="3"/>
      <x:c r="J115" s="3"/>
      <x:c r="K115" s="3"/>
      <x:c r="L115" s="6"/>
      <x:c r="M115" s="6"/>
      <x:c r="N115" s="6"/>
      <x:c r="O115" s="6"/>
      <x:c r="P115" s="6"/>
      <x:c r="Q115" s="7"/>
      <x:c r="R115" s="7"/>
      <x:c r="S115" s="7"/>
      <x:c r="T115" s="7"/>
      <x:c r="U115" s="7"/>
      <x:c r="V115" s="7"/>
      <x:c r="W115" s="7"/>
      <x:c r="X115" s="7"/>
      <x:c r="Y115" s="7"/>
      <x:c r="Z115" s="7"/>
      <x:c r="AA115" s="7"/>
      <x:c r="AB115" s="7"/>
      <x:c r="AC115" s="7"/>
      <x:c r="AD115" s="7"/>
      <x:c r="AE115" s="3"/>
      <x:c r="AF115" s="3"/>
      <x:c r="AG115" s="3"/>
      <x:c r="AH115" s="3"/>
      <x:c r="AI115" s="3"/>
      <x:c r="AJ115" s="9" t="str">
        <x:f>IF(A115="","",A115&amp;"|"&amp;B115)</x:f>
      </x:c>
      <x:c r="AK115" s="9" t="str">
        <x:f>IF(A115="",IF(B115="","","MISSING_TEST_ID"),IF(B115="","MISSING_RUN_ID",IF(COUNTIFS($A$2:$A$501,A115,$B$2:$B$501,B115)&lt;&gt;1,"DUPLICATE_ID","OK")))</x:f>
      </x:c>
      <x:c r="AL115" s="9" t="str">
        <x:f>IF(A115="","",IF(AND(AK115="OK",J115="READY",F115&lt;&gt;"",G115&lt;&gt;"",K115&lt;&gt;"",OR(L115="PASS",L115="FAIL"),M115&lt;&gt;"",P115="social-publication-v2"),"YES","NO"))</x:f>
      </x:c>
      <x:c r="AM115" s="9" t="str">
        <x:f>IF(A115="","",IF(AND(AK115="OK",J115="READY",F115&lt;&gt;"",G115&lt;&gt;"",K115&lt;&gt;"",S115="OK",OR(R115="PASS",R115="FAIL")),"YES","NO"))</x:f>
      </x:c>
      <x:c r="AN115" s="9" t="str">
        <x:f>IF(A115="","",F115&amp;" | "&amp;G115&amp;" | "&amp;H115&amp;" | "&amp;I115)</x:f>
      </x:c>
    </x:row>
    <x:row r="116" ht="33" customHeight="1">
      <x:c r="A116" s="3"/>
      <x:c r="B116" s="3"/>
      <x:c r="C116" s="3"/>
      <x:c r="D116" s="3"/>
      <x:c r="E116" s="3"/>
      <x:c r="F116" s="3"/>
      <x:c r="G116" s="3"/>
      <x:c r="H116" s="3"/>
      <x:c r="I116" s="3"/>
      <x:c r="J116" s="3"/>
      <x:c r="K116" s="3"/>
      <x:c r="L116" s="6"/>
      <x:c r="M116" s="6"/>
      <x:c r="N116" s="6"/>
      <x:c r="O116" s="6"/>
      <x:c r="P116" s="6"/>
      <x:c r="Q116" s="7"/>
      <x:c r="R116" s="7"/>
      <x:c r="S116" s="7"/>
      <x:c r="T116" s="7"/>
      <x:c r="U116" s="7"/>
      <x:c r="V116" s="7"/>
      <x:c r="W116" s="7"/>
      <x:c r="X116" s="7"/>
      <x:c r="Y116" s="7"/>
      <x:c r="Z116" s="7"/>
      <x:c r="AA116" s="7"/>
      <x:c r="AB116" s="7"/>
      <x:c r="AC116" s="7"/>
      <x:c r="AD116" s="7"/>
      <x:c r="AE116" s="3"/>
      <x:c r="AF116" s="3"/>
      <x:c r="AG116" s="3"/>
      <x:c r="AH116" s="3"/>
      <x:c r="AI116" s="3"/>
      <x:c r="AJ116" s="9" t="str">
        <x:f>IF(A116="","",A116&amp;"|"&amp;B116)</x:f>
      </x:c>
      <x:c r="AK116" s="9" t="str">
        <x:f>IF(A116="",IF(B116="","","MISSING_TEST_ID"),IF(B116="","MISSING_RUN_ID",IF(COUNTIFS($A$2:$A$501,A116,$B$2:$B$501,B116)&lt;&gt;1,"DUPLICATE_ID","OK")))</x:f>
      </x:c>
      <x:c r="AL116" s="9" t="str">
        <x:f>IF(A116="","",IF(AND(AK116="OK",J116="READY",F116&lt;&gt;"",G116&lt;&gt;"",K116&lt;&gt;"",OR(L116="PASS",L116="FAIL"),M116&lt;&gt;"",P116="social-publication-v2"),"YES","NO"))</x:f>
      </x:c>
      <x:c r="AM116" s="9" t="str">
        <x:f>IF(A116="","",IF(AND(AK116="OK",J116="READY",F116&lt;&gt;"",G116&lt;&gt;"",K116&lt;&gt;"",S116="OK",OR(R116="PASS",R116="FAIL")),"YES","NO"))</x:f>
      </x:c>
      <x:c r="AN116" s="9" t="str">
        <x:f>IF(A116="","",F116&amp;" | "&amp;G116&amp;" | "&amp;H116&amp;" | "&amp;I116)</x:f>
      </x:c>
    </x:row>
    <x:row r="117" ht="33" customHeight="1">
      <x:c r="A117" s="3"/>
      <x:c r="B117" s="3"/>
      <x:c r="C117" s="3"/>
      <x:c r="D117" s="3"/>
      <x:c r="E117" s="3"/>
      <x:c r="F117" s="3"/>
      <x:c r="G117" s="3"/>
      <x:c r="H117" s="3"/>
      <x:c r="I117" s="3"/>
      <x:c r="J117" s="3"/>
      <x:c r="K117" s="3"/>
      <x:c r="L117" s="6"/>
      <x:c r="M117" s="6"/>
      <x:c r="N117" s="6"/>
      <x:c r="O117" s="6"/>
      <x:c r="P117" s="6"/>
      <x:c r="Q117" s="7"/>
      <x:c r="R117" s="7"/>
      <x:c r="S117" s="7"/>
      <x:c r="T117" s="7"/>
      <x:c r="U117" s="7"/>
      <x:c r="V117" s="7"/>
      <x:c r="W117" s="7"/>
      <x:c r="X117" s="7"/>
      <x:c r="Y117" s="7"/>
      <x:c r="Z117" s="7"/>
      <x:c r="AA117" s="7"/>
      <x:c r="AB117" s="7"/>
      <x:c r="AC117" s="7"/>
      <x:c r="AD117" s="7"/>
      <x:c r="AE117" s="3"/>
      <x:c r="AF117" s="3"/>
      <x:c r="AG117" s="3"/>
      <x:c r="AH117" s="3"/>
      <x:c r="AI117" s="3"/>
      <x:c r="AJ117" s="9" t="str">
        <x:f>IF(A117="","",A117&amp;"|"&amp;B117)</x:f>
      </x:c>
      <x:c r="AK117" s="9" t="str">
        <x:f>IF(A117="",IF(B117="","","MISSING_TEST_ID"),IF(B117="","MISSING_RUN_ID",IF(COUNTIFS($A$2:$A$501,A117,$B$2:$B$501,B117)&lt;&gt;1,"DUPLICATE_ID","OK")))</x:f>
      </x:c>
      <x:c r="AL117" s="9" t="str">
        <x:f>IF(A117="","",IF(AND(AK117="OK",J117="READY",F117&lt;&gt;"",G117&lt;&gt;"",K117&lt;&gt;"",OR(L117="PASS",L117="FAIL"),M117&lt;&gt;"",P117="social-publication-v2"),"YES","NO"))</x:f>
      </x:c>
      <x:c r="AM117" s="9" t="str">
        <x:f>IF(A117="","",IF(AND(AK117="OK",J117="READY",F117&lt;&gt;"",G117&lt;&gt;"",K117&lt;&gt;"",S117="OK",OR(R117="PASS",R117="FAIL")),"YES","NO"))</x:f>
      </x:c>
      <x:c r="AN117" s="9" t="str">
        <x:f>IF(A117="","",F117&amp;" | "&amp;G117&amp;" | "&amp;H117&amp;" | "&amp;I117)</x:f>
      </x:c>
    </x:row>
    <x:row r="118" ht="33" customHeight="1">
      <x:c r="A118" s="3"/>
      <x:c r="B118" s="3"/>
      <x:c r="C118" s="3"/>
      <x:c r="D118" s="3"/>
      <x:c r="E118" s="3"/>
      <x:c r="F118" s="3"/>
      <x:c r="G118" s="3"/>
      <x:c r="H118" s="3"/>
      <x:c r="I118" s="3"/>
      <x:c r="J118" s="3"/>
      <x:c r="K118" s="3"/>
      <x:c r="L118" s="6"/>
      <x:c r="M118" s="6"/>
      <x:c r="N118" s="6"/>
      <x:c r="O118" s="6"/>
      <x:c r="P118" s="6"/>
      <x:c r="Q118" s="7"/>
      <x:c r="R118" s="7"/>
      <x:c r="S118" s="7"/>
      <x:c r="T118" s="7"/>
      <x:c r="U118" s="7"/>
      <x:c r="V118" s="7"/>
      <x:c r="W118" s="7"/>
      <x:c r="X118" s="7"/>
      <x:c r="Y118" s="7"/>
      <x:c r="Z118" s="7"/>
      <x:c r="AA118" s="7"/>
      <x:c r="AB118" s="7"/>
      <x:c r="AC118" s="7"/>
      <x:c r="AD118" s="7"/>
      <x:c r="AE118" s="3"/>
      <x:c r="AF118" s="3"/>
      <x:c r="AG118" s="3"/>
      <x:c r="AH118" s="3"/>
      <x:c r="AI118" s="3"/>
      <x:c r="AJ118" s="9" t="str">
        <x:f>IF(A118="","",A118&amp;"|"&amp;B118)</x:f>
      </x:c>
      <x:c r="AK118" s="9" t="str">
        <x:f>IF(A118="",IF(B118="","","MISSING_TEST_ID"),IF(B118="","MISSING_RUN_ID",IF(COUNTIFS($A$2:$A$501,A118,$B$2:$B$501,B118)&lt;&gt;1,"DUPLICATE_ID","OK")))</x:f>
      </x:c>
      <x:c r="AL118" s="9" t="str">
        <x:f>IF(A118="","",IF(AND(AK118="OK",J118="READY",F118&lt;&gt;"",G118&lt;&gt;"",K118&lt;&gt;"",OR(L118="PASS",L118="FAIL"),M118&lt;&gt;"",P118="social-publication-v2"),"YES","NO"))</x:f>
      </x:c>
      <x:c r="AM118" s="9" t="str">
        <x:f>IF(A118="","",IF(AND(AK118="OK",J118="READY",F118&lt;&gt;"",G118&lt;&gt;"",K118&lt;&gt;"",S118="OK",OR(R118="PASS",R118="FAIL")),"YES","NO"))</x:f>
      </x:c>
      <x:c r="AN118" s="9" t="str">
        <x:f>IF(A118="","",F118&amp;" | "&amp;G118&amp;" | "&amp;H118&amp;" | "&amp;I118)</x:f>
      </x:c>
    </x:row>
    <x:row r="119" ht="33" customHeight="1">
      <x:c r="A119" s="3"/>
      <x:c r="B119" s="3"/>
      <x:c r="C119" s="3"/>
      <x:c r="D119" s="3"/>
      <x:c r="E119" s="3"/>
      <x:c r="F119" s="3"/>
      <x:c r="G119" s="3"/>
      <x:c r="H119" s="3"/>
      <x:c r="I119" s="3"/>
      <x:c r="J119" s="3"/>
      <x:c r="K119" s="3"/>
      <x:c r="L119" s="6"/>
      <x:c r="M119" s="6"/>
      <x:c r="N119" s="6"/>
      <x:c r="O119" s="6"/>
      <x:c r="P119" s="6"/>
      <x:c r="Q119" s="7"/>
      <x:c r="R119" s="7"/>
      <x:c r="S119" s="7"/>
      <x:c r="T119" s="7"/>
      <x:c r="U119" s="7"/>
      <x:c r="V119" s="7"/>
      <x:c r="W119" s="7"/>
      <x:c r="X119" s="7"/>
      <x:c r="Y119" s="7"/>
      <x:c r="Z119" s="7"/>
      <x:c r="AA119" s="7"/>
      <x:c r="AB119" s="7"/>
      <x:c r="AC119" s="7"/>
      <x:c r="AD119" s="7"/>
      <x:c r="AE119" s="3"/>
      <x:c r="AF119" s="3"/>
      <x:c r="AG119" s="3"/>
      <x:c r="AH119" s="3"/>
      <x:c r="AI119" s="3"/>
      <x:c r="AJ119" s="9" t="str">
        <x:f>IF(A119="","",A119&amp;"|"&amp;B119)</x:f>
      </x:c>
      <x:c r="AK119" s="9" t="str">
        <x:f>IF(A119="",IF(B119="","","MISSING_TEST_ID"),IF(B119="","MISSING_RUN_ID",IF(COUNTIFS($A$2:$A$501,A119,$B$2:$B$501,B119)&lt;&gt;1,"DUPLICATE_ID","OK")))</x:f>
      </x:c>
      <x:c r="AL119" s="9" t="str">
        <x:f>IF(A119="","",IF(AND(AK119="OK",J119="READY",F119&lt;&gt;"",G119&lt;&gt;"",K119&lt;&gt;"",OR(L119="PASS",L119="FAIL"),M119&lt;&gt;"",P119="social-publication-v2"),"YES","NO"))</x:f>
      </x:c>
      <x:c r="AM119" s="9" t="str">
        <x:f>IF(A119="","",IF(AND(AK119="OK",J119="READY",F119&lt;&gt;"",G119&lt;&gt;"",K119&lt;&gt;"",S119="OK",OR(R119="PASS",R119="FAIL")),"YES","NO"))</x:f>
      </x:c>
      <x:c r="AN119" s="9" t="str">
        <x:f>IF(A119="","",F119&amp;" | "&amp;G119&amp;" | "&amp;H119&amp;" | "&amp;I119)</x:f>
      </x:c>
    </x:row>
    <x:row r="120" ht="33" customHeight="1">
      <x:c r="A120" s="3"/>
      <x:c r="B120" s="3"/>
      <x:c r="C120" s="3"/>
      <x:c r="D120" s="3"/>
      <x:c r="E120" s="3"/>
      <x:c r="F120" s="3"/>
      <x:c r="G120" s="3"/>
      <x:c r="H120" s="3"/>
      <x:c r="I120" s="3"/>
      <x:c r="J120" s="3"/>
      <x:c r="K120" s="3"/>
      <x:c r="L120" s="6"/>
      <x:c r="M120" s="6"/>
      <x:c r="N120" s="6"/>
      <x:c r="O120" s="6"/>
      <x:c r="P120" s="6"/>
      <x:c r="Q120" s="7"/>
      <x:c r="R120" s="7"/>
      <x:c r="S120" s="7"/>
      <x:c r="T120" s="7"/>
      <x:c r="U120" s="7"/>
      <x:c r="V120" s="7"/>
      <x:c r="W120" s="7"/>
      <x:c r="X120" s="7"/>
      <x:c r="Y120" s="7"/>
      <x:c r="Z120" s="7"/>
      <x:c r="AA120" s="7"/>
      <x:c r="AB120" s="7"/>
      <x:c r="AC120" s="7"/>
      <x:c r="AD120" s="7"/>
      <x:c r="AE120" s="3"/>
      <x:c r="AF120" s="3"/>
      <x:c r="AG120" s="3"/>
      <x:c r="AH120" s="3"/>
      <x:c r="AI120" s="3"/>
      <x:c r="AJ120" s="9" t="str">
        <x:f>IF(A120="","",A120&amp;"|"&amp;B120)</x:f>
      </x:c>
      <x:c r="AK120" s="9" t="str">
        <x:f>IF(A120="",IF(B120="","","MISSING_TEST_ID"),IF(B120="","MISSING_RUN_ID",IF(COUNTIFS($A$2:$A$501,A120,$B$2:$B$501,B120)&lt;&gt;1,"DUPLICATE_ID","OK")))</x:f>
      </x:c>
      <x:c r="AL120" s="9" t="str">
        <x:f>IF(A120="","",IF(AND(AK120="OK",J120="READY",F120&lt;&gt;"",G120&lt;&gt;"",K120&lt;&gt;"",OR(L120="PASS",L120="FAIL"),M120&lt;&gt;"",P120="social-publication-v2"),"YES","NO"))</x:f>
      </x:c>
      <x:c r="AM120" s="9" t="str">
        <x:f>IF(A120="","",IF(AND(AK120="OK",J120="READY",F120&lt;&gt;"",G120&lt;&gt;"",K120&lt;&gt;"",S120="OK",OR(R120="PASS",R120="FAIL")),"YES","NO"))</x:f>
      </x:c>
      <x:c r="AN120" s="9" t="str">
        <x:f>IF(A120="","",F120&amp;" | "&amp;G120&amp;" | "&amp;H120&amp;" | "&amp;I120)</x:f>
      </x:c>
    </x:row>
    <x:row r="121" ht="33" customHeight="1">
      <x:c r="A121" s="3"/>
      <x:c r="B121" s="3"/>
      <x:c r="C121" s="3"/>
      <x:c r="D121" s="3"/>
      <x:c r="E121" s="3"/>
      <x:c r="F121" s="3"/>
      <x:c r="G121" s="3"/>
      <x:c r="H121" s="3"/>
      <x:c r="I121" s="3"/>
      <x:c r="J121" s="3"/>
      <x:c r="K121" s="3"/>
      <x:c r="L121" s="6"/>
      <x:c r="M121" s="6"/>
      <x:c r="N121" s="6"/>
      <x:c r="O121" s="6"/>
      <x:c r="P121" s="6"/>
      <x:c r="Q121" s="7"/>
      <x:c r="R121" s="7"/>
      <x:c r="S121" s="7"/>
      <x:c r="T121" s="7"/>
      <x:c r="U121" s="7"/>
      <x:c r="V121" s="7"/>
      <x:c r="W121" s="7"/>
      <x:c r="X121" s="7"/>
      <x:c r="Y121" s="7"/>
      <x:c r="Z121" s="7"/>
      <x:c r="AA121" s="7"/>
      <x:c r="AB121" s="7"/>
      <x:c r="AC121" s="7"/>
      <x:c r="AD121" s="7"/>
      <x:c r="AE121" s="3"/>
      <x:c r="AF121" s="3"/>
      <x:c r="AG121" s="3"/>
      <x:c r="AH121" s="3"/>
      <x:c r="AI121" s="3"/>
      <x:c r="AJ121" s="9" t="str">
        <x:f>IF(A121="","",A121&amp;"|"&amp;B121)</x:f>
      </x:c>
      <x:c r="AK121" s="9" t="str">
        <x:f>IF(A121="",IF(B121="","","MISSING_TEST_ID"),IF(B121="","MISSING_RUN_ID",IF(COUNTIFS($A$2:$A$501,A121,$B$2:$B$501,B121)&lt;&gt;1,"DUPLICATE_ID","OK")))</x:f>
      </x:c>
      <x:c r="AL121" s="9" t="str">
        <x:f>IF(A121="","",IF(AND(AK121="OK",J121="READY",F121&lt;&gt;"",G121&lt;&gt;"",K121&lt;&gt;"",OR(L121="PASS",L121="FAIL"),M121&lt;&gt;"",P121="social-publication-v2"),"YES","NO"))</x:f>
      </x:c>
      <x:c r="AM121" s="9" t="str">
        <x:f>IF(A121="","",IF(AND(AK121="OK",J121="READY",F121&lt;&gt;"",G121&lt;&gt;"",K121&lt;&gt;"",S121="OK",OR(R121="PASS",R121="FAIL")),"YES","NO"))</x:f>
      </x:c>
      <x:c r="AN121" s="9" t="str">
        <x:f>IF(A121="","",F121&amp;" | "&amp;G121&amp;" | "&amp;H121&amp;" | "&amp;I121)</x:f>
      </x:c>
    </x:row>
    <x:row r="122" ht="33" customHeight="1">
      <x:c r="A122" s="3"/>
      <x:c r="B122" s="3"/>
      <x:c r="C122" s="3"/>
      <x:c r="D122" s="3"/>
      <x:c r="E122" s="3"/>
      <x:c r="F122" s="3"/>
      <x:c r="G122" s="3"/>
      <x:c r="H122" s="3"/>
      <x:c r="I122" s="3"/>
      <x:c r="J122" s="3"/>
      <x:c r="K122" s="3"/>
      <x:c r="L122" s="6"/>
      <x:c r="M122" s="6"/>
      <x:c r="N122" s="6"/>
      <x:c r="O122" s="6"/>
      <x:c r="P122" s="6"/>
      <x:c r="Q122" s="7"/>
      <x:c r="R122" s="7"/>
      <x:c r="S122" s="7"/>
      <x:c r="T122" s="7"/>
      <x:c r="U122" s="7"/>
      <x:c r="V122" s="7"/>
      <x:c r="W122" s="7"/>
      <x:c r="X122" s="7"/>
      <x:c r="Y122" s="7"/>
      <x:c r="Z122" s="7"/>
      <x:c r="AA122" s="7"/>
      <x:c r="AB122" s="7"/>
      <x:c r="AC122" s="7"/>
      <x:c r="AD122" s="7"/>
      <x:c r="AE122" s="3"/>
      <x:c r="AF122" s="3"/>
      <x:c r="AG122" s="3"/>
      <x:c r="AH122" s="3"/>
      <x:c r="AI122" s="3"/>
      <x:c r="AJ122" s="9" t="str">
        <x:f>IF(A122="","",A122&amp;"|"&amp;B122)</x:f>
      </x:c>
      <x:c r="AK122" s="9" t="str">
        <x:f>IF(A122="",IF(B122="","","MISSING_TEST_ID"),IF(B122="","MISSING_RUN_ID",IF(COUNTIFS($A$2:$A$501,A122,$B$2:$B$501,B122)&lt;&gt;1,"DUPLICATE_ID","OK")))</x:f>
      </x:c>
      <x:c r="AL122" s="9" t="str">
        <x:f>IF(A122="","",IF(AND(AK122="OK",J122="READY",F122&lt;&gt;"",G122&lt;&gt;"",K122&lt;&gt;"",OR(L122="PASS",L122="FAIL"),M122&lt;&gt;"",P122="social-publication-v2"),"YES","NO"))</x:f>
      </x:c>
      <x:c r="AM122" s="9" t="str">
        <x:f>IF(A122="","",IF(AND(AK122="OK",J122="READY",F122&lt;&gt;"",G122&lt;&gt;"",K122&lt;&gt;"",S122="OK",OR(R122="PASS",R122="FAIL")),"YES","NO"))</x:f>
      </x:c>
      <x:c r="AN122" s="9" t="str">
        <x:f>IF(A122="","",F122&amp;" | "&amp;G122&amp;" | "&amp;H122&amp;" | "&amp;I122)</x:f>
      </x:c>
    </x:row>
    <x:row r="123" ht="33" customHeight="1">
      <x:c r="A123" s="3"/>
      <x:c r="B123" s="3"/>
      <x:c r="C123" s="3"/>
      <x:c r="D123" s="3"/>
      <x:c r="E123" s="3"/>
      <x:c r="F123" s="3"/>
      <x:c r="G123" s="3"/>
      <x:c r="H123" s="3"/>
      <x:c r="I123" s="3"/>
      <x:c r="J123" s="3"/>
      <x:c r="K123" s="3"/>
      <x:c r="L123" s="6"/>
      <x:c r="M123" s="6"/>
      <x:c r="N123" s="6"/>
      <x:c r="O123" s="6"/>
      <x:c r="P123" s="6"/>
      <x:c r="Q123" s="7"/>
      <x:c r="R123" s="7"/>
      <x:c r="S123" s="7"/>
      <x:c r="T123" s="7"/>
      <x:c r="U123" s="7"/>
      <x:c r="V123" s="7"/>
      <x:c r="W123" s="7"/>
      <x:c r="X123" s="7"/>
      <x:c r="Y123" s="7"/>
      <x:c r="Z123" s="7"/>
      <x:c r="AA123" s="7"/>
      <x:c r="AB123" s="7"/>
      <x:c r="AC123" s="7"/>
      <x:c r="AD123" s="7"/>
      <x:c r="AE123" s="3"/>
      <x:c r="AF123" s="3"/>
      <x:c r="AG123" s="3"/>
      <x:c r="AH123" s="3"/>
      <x:c r="AI123" s="3"/>
      <x:c r="AJ123" s="9" t="str">
        <x:f>IF(A123="","",A123&amp;"|"&amp;B123)</x:f>
      </x:c>
      <x:c r="AK123" s="9" t="str">
        <x:f>IF(A123="",IF(B123="","","MISSING_TEST_ID"),IF(B123="","MISSING_RUN_ID",IF(COUNTIFS($A$2:$A$501,A123,$B$2:$B$501,B123)&lt;&gt;1,"DUPLICATE_ID","OK")))</x:f>
      </x:c>
      <x:c r="AL123" s="9" t="str">
        <x:f>IF(A123="","",IF(AND(AK123="OK",J123="READY",F123&lt;&gt;"",G123&lt;&gt;"",K123&lt;&gt;"",OR(L123="PASS",L123="FAIL"),M123&lt;&gt;"",P123="social-publication-v2"),"YES","NO"))</x:f>
      </x:c>
      <x:c r="AM123" s="9" t="str">
        <x:f>IF(A123="","",IF(AND(AK123="OK",J123="READY",F123&lt;&gt;"",G123&lt;&gt;"",K123&lt;&gt;"",S123="OK",OR(R123="PASS",R123="FAIL")),"YES","NO"))</x:f>
      </x:c>
      <x:c r="AN123" s="9" t="str">
        <x:f>IF(A123="","",F123&amp;" | "&amp;G123&amp;" | "&amp;H123&amp;" | "&amp;I123)</x:f>
      </x:c>
    </x:row>
    <x:row r="124" ht="33" customHeight="1">
      <x:c r="A124" s="3"/>
      <x:c r="B124" s="3"/>
      <x:c r="C124" s="3"/>
      <x:c r="D124" s="3"/>
      <x:c r="E124" s="3"/>
      <x:c r="F124" s="3"/>
      <x:c r="G124" s="3"/>
      <x:c r="H124" s="3"/>
      <x:c r="I124" s="3"/>
      <x:c r="J124" s="3"/>
      <x:c r="K124" s="3"/>
      <x:c r="L124" s="6"/>
      <x:c r="M124" s="6"/>
      <x:c r="N124" s="6"/>
      <x:c r="O124" s="6"/>
      <x:c r="P124" s="6"/>
      <x:c r="Q124" s="7"/>
      <x:c r="R124" s="7"/>
      <x:c r="S124" s="7"/>
      <x:c r="T124" s="7"/>
      <x:c r="U124" s="7"/>
      <x:c r="V124" s="7"/>
      <x:c r="W124" s="7"/>
      <x:c r="X124" s="7"/>
      <x:c r="Y124" s="7"/>
      <x:c r="Z124" s="7"/>
      <x:c r="AA124" s="7"/>
      <x:c r="AB124" s="7"/>
      <x:c r="AC124" s="7"/>
      <x:c r="AD124" s="7"/>
      <x:c r="AE124" s="3"/>
      <x:c r="AF124" s="3"/>
      <x:c r="AG124" s="3"/>
      <x:c r="AH124" s="3"/>
      <x:c r="AI124" s="3"/>
      <x:c r="AJ124" s="9" t="str">
        <x:f>IF(A124="","",A124&amp;"|"&amp;B124)</x:f>
      </x:c>
      <x:c r="AK124" s="9" t="str">
        <x:f>IF(A124="",IF(B124="","","MISSING_TEST_ID"),IF(B124="","MISSING_RUN_ID",IF(COUNTIFS($A$2:$A$501,A124,$B$2:$B$501,B124)&lt;&gt;1,"DUPLICATE_ID","OK")))</x:f>
      </x:c>
      <x:c r="AL124" s="9" t="str">
        <x:f>IF(A124="","",IF(AND(AK124="OK",J124="READY",F124&lt;&gt;"",G124&lt;&gt;"",K124&lt;&gt;"",OR(L124="PASS",L124="FAIL"),M124&lt;&gt;"",P124="social-publication-v2"),"YES","NO"))</x:f>
      </x:c>
      <x:c r="AM124" s="9" t="str">
        <x:f>IF(A124="","",IF(AND(AK124="OK",J124="READY",F124&lt;&gt;"",G124&lt;&gt;"",K124&lt;&gt;"",S124="OK",OR(R124="PASS",R124="FAIL")),"YES","NO"))</x:f>
      </x:c>
      <x:c r="AN124" s="9" t="str">
        <x:f>IF(A124="","",F124&amp;" | "&amp;G124&amp;" | "&amp;H124&amp;" | "&amp;I124)</x:f>
      </x:c>
    </x:row>
    <x:row r="125" ht="33" customHeight="1">
      <x:c r="A125" s="3"/>
      <x:c r="B125" s="3"/>
      <x:c r="C125" s="3"/>
      <x:c r="D125" s="3"/>
      <x:c r="E125" s="3"/>
      <x:c r="F125" s="3"/>
      <x:c r="G125" s="3"/>
      <x:c r="H125" s="3"/>
      <x:c r="I125" s="3"/>
      <x:c r="J125" s="3"/>
      <x:c r="K125" s="3"/>
      <x:c r="L125" s="6"/>
      <x:c r="M125" s="6"/>
      <x:c r="N125" s="6"/>
      <x:c r="O125" s="6"/>
      <x:c r="P125" s="6"/>
      <x:c r="Q125" s="7"/>
      <x:c r="R125" s="7"/>
      <x:c r="S125" s="7"/>
      <x:c r="T125" s="7"/>
      <x:c r="U125" s="7"/>
      <x:c r="V125" s="7"/>
      <x:c r="W125" s="7"/>
      <x:c r="X125" s="7"/>
      <x:c r="Y125" s="7"/>
      <x:c r="Z125" s="7"/>
      <x:c r="AA125" s="7"/>
      <x:c r="AB125" s="7"/>
      <x:c r="AC125" s="7"/>
      <x:c r="AD125" s="7"/>
      <x:c r="AE125" s="3"/>
      <x:c r="AF125" s="3"/>
      <x:c r="AG125" s="3"/>
      <x:c r="AH125" s="3"/>
      <x:c r="AI125" s="3"/>
      <x:c r="AJ125" s="9" t="str">
        <x:f>IF(A125="","",A125&amp;"|"&amp;B125)</x:f>
      </x:c>
      <x:c r="AK125" s="9" t="str">
        <x:f>IF(A125="",IF(B125="","","MISSING_TEST_ID"),IF(B125="","MISSING_RUN_ID",IF(COUNTIFS($A$2:$A$501,A125,$B$2:$B$501,B125)&lt;&gt;1,"DUPLICATE_ID","OK")))</x:f>
      </x:c>
      <x:c r="AL125" s="9" t="str">
        <x:f>IF(A125="","",IF(AND(AK125="OK",J125="READY",F125&lt;&gt;"",G125&lt;&gt;"",K125&lt;&gt;"",OR(L125="PASS",L125="FAIL"),M125&lt;&gt;"",P125="social-publication-v2"),"YES","NO"))</x:f>
      </x:c>
      <x:c r="AM125" s="9" t="str">
        <x:f>IF(A125="","",IF(AND(AK125="OK",J125="READY",F125&lt;&gt;"",G125&lt;&gt;"",K125&lt;&gt;"",S125="OK",OR(R125="PASS",R125="FAIL")),"YES","NO"))</x:f>
      </x:c>
      <x:c r="AN125" s="9" t="str">
        <x:f>IF(A125="","",F125&amp;" | "&amp;G125&amp;" | "&amp;H125&amp;" | "&amp;I125)</x:f>
      </x:c>
    </x:row>
    <x:row r="126" ht="33" customHeight="1">
      <x:c r="A126" s="3"/>
      <x:c r="B126" s="3"/>
      <x:c r="C126" s="3"/>
      <x:c r="D126" s="3"/>
      <x:c r="E126" s="3"/>
      <x:c r="F126" s="3"/>
      <x:c r="G126" s="3"/>
      <x:c r="H126" s="3"/>
      <x:c r="I126" s="3"/>
      <x:c r="J126" s="3"/>
      <x:c r="K126" s="3"/>
      <x:c r="L126" s="6"/>
      <x:c r="M126" s="6"/>
      <x:c r="N126" s="6"/>
      <x:c r="O126" s="6"/>
      <x:c r="P126" s="6"/>
      <x:c r="Q126" s="7"/>
      <x:c r="R126" s="7"/>
      <x:c r="S126" s="7"/>
      <x:c r="T126" s="7"/>
      <x:c r="U126" s="7"/>
      <x:c r="V126" s="7"/>
      <x:c r="W126" s="7"/>
      <x:c r="X126" s="7"/>
      <x:c r="Y126" s="7"/>
      <x:c r="Z126" s="7"/>
      <x:c r="AA126" s="7"/>
      <x:c r="AB126" s="7"/>
      <x:c r="AC126" s="7"/>
      <x:c r="AD126" s="7"/>
      <x:c r="AE126" s="3"/>
      <x:c r="AF126" s="3"/>
      <x:c r="AG126" s="3"/>
      <x:c r="AH126" s="3"/>
      <x:c r="AI126" s="3"/>
      <x:c r="AJ126" s="9" t="str">
        <x:f>IF(A126="","",A126&amp;"|"&amp;B126)</x:f>
      </x:c>
      <x:c r="AK126" s="9" t="str">
        <x:f>IF(A126="",IF(B126="","","MISSING_TEST_ID"),IF(B126="","MISSING_RUN_ID",IF(COUNTIFS($A$2:$A$501,A126,$B$2:$B$501,B126)&lt;&gt;1,"DUPLICATE_ID","OK")))</x:f>
      </x:c>
      <x:c r="AL126" s="9" t="str">
        <x:f>IF(A126="","",IF(AND(AK126="OK",J126="READY",F126&lt;&gt;"",G126&lt;&gt;"",K126&lt;&gt;"",OR(L126="PASS",L126="FAIL"),M126&lt;&gt;"",P126="social-publication-v2"),"YES","NO"))</x:f>
      </x:c>
      <x:c r="AM126" s="9" t="str">
        <x:f>IF(A126="","",IF(AND(AK126="OK",J126="READY",F126&lt;&gt;"",G126&lt;&gt;"",K126&lt;&gt;"",S126="OK",OR(R126="PASS",R126="FAIL")),"YES","NO"))</x:f>
      </x:c>
      <x:c r="AN126" s="9" t="str">
        <x:f>IF(A126="","",F126&amp;" | "&amp;G126&amp;" | "&amp;H126&amp;" | "&amp;I126)</x:f>
      </x:c>
    </x:row>
    <x:row r="127" ht="33" customHeight="1">
      <x:c r="A127" s="3"/>
      <x:c r="B127" s="3"/>
      <x:c r="C127" s="3"/>
      <x:c r="D127" s="3"/>
      <x:c r="E127" s="3"/>
      <x:c r="F127" s="3"/>
      <x:c r="G127" s="3"/>
      <x:c r="H127" s="3"/>
      <x:c r="I127" s="3"/>
      <x:c r="J127" s="3"/>
      <x:c r="K127" s="3"/>
      <x:c r="L127" s="6"/>
      <x:c r="M127" s="6"/>
      <x:c r="N127" s="6"/>
      <x:c r="O127" s="6"/>
      <x:c r="P127" s="6"/>
      <x:c r="Q127" s="7"/>
      <x:c r="R127" s="7"/>
      <x:c r="S127" s="7"/>
      <x:c r="T127" s="7"/>
      <x:c r="U127" s="7"/>
      <x:c r="V127" s="7"/>
      <x:c r="W127" s="7"/>
      <x:c r="X127" s="7"/>
      <x:c r="Y127" s="7"/>
      <x:c r="Z127" s="7"/>
      <x:c r="AA127" s="7"/>
      <x:c r="AB127" s="7"/>
      <x:c r="AC127" s="7"/>
      <x:c r="AD127" s="7"/>
      <x:c r="AE127" s="3"/>
      <x:c r="AF127" s="3"/>
      <x:c r="AG127" s="3"/>
      <x:c r="AH127" s="3"/>
      <x:c r="AI127" s="3"/>
      <x:c r="AJ127" s="9" t="str">
        <x:f>IF(A127="","",A127&amp;"|"&amp;B127)</x:f>
      </x:c>
      <x:c r="AK127" s="9" t="str">
        <x:f>IF(A127="",IF(B127="","","MISSING_TEST_ID"),IF(B127="","MISSING_RUN_ID",IF(COUNTIFS($A$2:$A$501,A127,$B$2:$B$501,B127)&lt;&gt;1,"DUPLICATE_ID","OK")))</x:f>
      </x:c>
      <x:c r="AL127" s="9" t="str">
        <x:f>IF(A127="","",IF(AND(AK127="OK",J127="READY",F127&lt;&gt;"",G127&lt;&gt;"",K127&lt;&gt;"",OR(L127="PASS",L127="FAIL"),M127&lt;&gt;"",P127="social-publication-v2"),"YES","NO"))</x:f>
      </x:c>
      <x:c r="AM127" s="9" t="str">
        <x:f>IF(A127="","",IF(AND(AK127="OK",J127="READY",F127&lt;&gt;"",G127&lt;&gt;"",K127&lt;&gt;"",S127="OK",OR(R127="PASS",R127="FAIL")),"YES","NO"))</x:f>
      </x:c>
      <x:c r="AN127" s="9" t="str">
        <x:f>IF(A127="","",F127&amp;" | "&amp;G127&amp;" | "&amp;H127&amp;" | "&amp;I127)</x:f>
      </x:c>
    </x:row>
    <x:row r="128" ht="33" customHeight="1">
      <x:c r="A128" s="3"/>
      <x:c r="B128" s="3"/>
      <x:c r="C128" s="3"/>
      <x:c r="D128" s="3"/>
      <x:c r="E128" s="3"/>
      <x:c r="F128" s="3"/>
      <x:c r="G128" s="3"/>
      <x:c r="H128" s="3"/>
      <x:c r="I128" s="3"/>
      <x:c r="J128" s="3"/>
      <x:c r="K128" s="3"/>
      <x:c r="L128" s="6"/>
      <x:c r="M128" s="6"/>
      <x:c r="N128" s="6"/>
      <x:c r="O128" s="6"/>
      <x:c r="P128" s="6"/>
      <x:c r="Q128" s="7"/>
      <x:c r="R128" s="7"/>
      <x:c r="S128" s="7"/>
      <x:c r="T128" s="7"/>
      <x:c r="U128" s="7"/>
      <x:c r="V128" s="7"/>
      <x:c r="W128" s="7"/>
      <x:c r="X128" s="7"/>
      <x:c r="Y128" s="7"/>
      <x:c r="Z128" s="7"/>
      <x:c r="AA128" s="7"/>
      <x:c r="AB128" s="7"/>
      <x:c r="AC128" s="7"/>
      <x:c r="AD128" s="7"/>
      <x:c r="AE128" s="3"/>
      <x:c r="AF128" s="3"/>
      <x:c r="AG128" s="3"/>
      <x:c r="AH128" s="3"/>
      <x:c r="AI128" s="3"/>
      <x:c r="AJ128" s="9" t="str">
        <x:f>IF(A128="","",A128&amp;"|"&amp;B128)</x:f>
      </x:c>
      <x:c r="AK128" s="9" t="str">
        <x:f>IF(A128="",IF(B128="","","MISSING_TEST_ID"),IF(B128="","MISSING_RUN_ID",IF(COUNTIFS($A$2:$A$501,A128,$B$2:$B$501,B128)&lt;&gt;1,"DUPLICATE_ID","OK")))</x:f>
      </x:c>
      <x:c r="AL128" s="9" t="str">
        <x:f>IF(A128="","",IF(AND(AK128="OK",J128="READY",F128&lt;&gt;"",G128&lt;&gt;"",K128&lt;&gt;"",OR(L128="PASS",L128="FAIL"),M128&lt;&gt;"",P128="social-publication-v2"),"YES","NO"))</x:f>
      </x:c>
      <x:c r="AM128" s="9" t="str">
        <x:f>IF(A128="","",IF(AND(AK128="OK",J128="READY",F128&lt;&gt;"",G128&lt;&gt;"",K128&lt;&gt;"",S128="OK",OR(R128="PASS",R128="FAIL")),"YES","NO"))</x:f>
      </x:c>
      <x:c r="AN128" s="9" t="str">
        <x:f>IF(A128="","",F128&amp;" | "&amp;G128&amp;" | "&amp;H128&amp;" | "&amp;I128)</x:f>
      </x:c>
    </x:row>
    <x:row r="129" ht="33" customHeight="1">
      <x:c r="A129" s="3"/>
      <x:c r="B129" s="3"/>
      <x:c r="C129" s="3"/>
      <x:c r="D129" s="3"/>
      <x:c r="E129" s="3"/>
      <x:c r="F129" s="3"/>
      <x:c r="G129" s="3"/>
      <x:c r="H129" s="3"/>
      <x:c r="I129" s="3"/>
      <x:c r="J129" s="3"/>
      <x:c r="K129" s="3"/>
      <x:c r="L129" s="6"/>
      <x:c r="M129" s="6"/>
      <x:c r="N129" s="6"/>
      <x:c r="O129" s="6"/>
      <x:c r="P129" s="6"/>
      <x:c r="Q129" s="7"/>
      <x:c r="R129" s="7"/>
      <x:c r="S129" s="7"/>
      <x:c r="T129" s="7"/>
      <x:c r="U129" s="7"/>
      <x:c r="V129" s="7"/>
      <x:c r="W129" s="7"/>
      <x:c r="X129" s="7"/>
      <x:c r="Y129" s="7"/>
      <x:c r="Z129" s="7"/>
      <x:c r="AA129" s="7"/>
      <x:c r="AB129" s="7"/>
      <x:c r="AC129" s="7"/>
      <x:c r="AD129" s="7"/>
      <x:c r="AE129" s="3"/>
      <x:c r="AF129" s="3"/>
      <x:c r="AG129" s="3"/>
      <x:c r="AH129" s="3"/>
      <x:c r="AI129" s="3"/>
      <x:c r="AJ129" s="9" t="str">
        <x:f>IF(A129="","",A129&amp;"|"&amp;B129)</x:f>
      </x:c>
      <x:c r="AK129" s="9" t="str">
        <x:f>IF(A129="",IF(B129="","","MISSING_TEST_ID"),IF(B129="","MISSING_RUN_ID",IF(COUNTIFS($A$2:$A$501,A129,$B$2:$B$501,B129)&lt;&gt;1,"DUPLICATE_ID","OK")))</x:f>
      </x:c>
      <x:c r="AL129" s="9" t="str">
        <x:f>IF(A129="","",IF(AND(AK129="OK",J129="READY",F129&lt;&gt;"",G129&lt;&gt;"",K129&lt;&gt;"",OR(L129="PASS",L129="FAIL"),M129&lt;&gt;"",P129="social-publication-v2"),"YES","NO"))</x:f>
      </x:c>
      <x:c r="AM129" s="9" t="str">
        <x:f>IF(A129="","",IF(AND(AK129="OK",J129="READY",F129&lt;&gt;"",G129&lt;&gt;"",K129&lt;&gt;"",S129="OK",OR(R129="PASS",R129="FAIL")),"YES","NO"))</x:f>
      </x:c>
      <x:c r="AN129" s="9" t="str">
        <x:f>IF(A129="","",F129&amp;" | "&amp;G129&amp;" | "&amp;H129&amp;" | "&amp;I129)</x:f>
      </x:c>
    </x:row>
    <x:row r="130" ht="33" customHeight="1">
      <x:c r="A130" s="3"/>
      <x:c r="B130" s="3"/>
      <x:c r="C130" s="3"/>
      <x:c r="D130" s="3"/>
      <x:c r="E130" s="3"/>
      <x:c r="F130" s="3"/>
      <x:c r="G130" s="3"/>
      <x:c r="H130" s="3"/>
      <x:c r="I130" s="3"/>
      <x:c r="J130" s="3"/>
      <x:c r="K130" s="3"/>
      <x:c r="L130" s="6"/>
      <x:c r="M130" s="6"/>
      <x:c r="N130" s="6"/>
      <x:c r="O130" s="6"/>
      <x:c r="P130" s="6"/>
      <x:c r="Q130" s="7"/>
      <x:c r="R130" s="7"/>
      <x:c r="S130" s="7"/>
      <x:c r="T130" s="7"/>
      <x:c r="U130" s="7"/>
      <x:c r="V130" s="7"/>
      <x:c r="W130" s="7"/>
      <x:c r="X130" s="7"/>
      <x:c r="Y130" s="7"/>
      <x:c r="Z130" s="7"/>
      <x:c r="AA130" s="7"/>
      <x:c r="AB130" s="7"/>
      <x:c r="AC130" s="7"/>
      <x:c r="AD130" s="7"/>
      <x:c r="AE130" s="3"/>
      <x:c r="AF130" s="3"/>
      <x:c r="AG130" s="3"/>
      <x:c r="AH130" s="3"/>
      <x:c r="AI130" s="3"/>
      <x:c r="AJ130" s="9" t="str">
        <x:f>IF(A130="","",A130&amp;"|"&amp;B130)</x:f>
      </x:c>
      <x:c r="AK130" s="9" t="str">
        <x:f>IF(A130="",IF(B130="","","MISSING_TEST_ID"),IF(B130="","MISSING_RUN_ID",IF(COUNTIFS($A$2:$A$501,A130,$B$2:$B$501,B130)&lt;&gt;1,"DUPLICATE_ID","OK")))</x:f>
      </x:c>
      <x:c r="AL130" s="9" t="str">
        <x:f>IF(A130="","",IF(AND(AK130="OK",J130="READY",F130&lt;&gt;"",G130&lt;&gt;"",K130&lt;&gt;"",OR(L130="PASS",L130="FAIL"),M130&lt;&gt;"",P130="social-publication-v2"),"YES","NO"))</x:f>
      </x:c>
      <x:c r="AM130" s="9" t="str">
        <x:f>IF(A130="","",IF(AND(AK130="OK",J130="READY",F130&lt;&gt;"",G130&lt;&gt;"",K130&lt;&gt;"",S130="OK",OR(R130="PASS",R130="FAIL")),"YES","NO"))</x:f>
      </x:c>
      <x:c r="AN130" s="9" t="str">
        <x:f>IF(A130="","",F130&amp;" | "&amp;G130&amp;" | "&amp;H130&amp;" | "&amp;I130)</x:f>
      </x:c>
    </x:row>
    <x:row r="131" ht="33" customHeight="1">
      <x:c r="A131" s="3"/>
      <x:c r="B131" s="3"/>
      <x:c r="C131" s="3"/>
      <x:c r="D131" s="3"/>
      <x:c r="E131" s="3"/>
      <x:c r="F131" s="3"/>
      <x:c r="G131" s="3"/>
      <x:c r="H131" s="3"/>
      <x:c r="I131" s="3"/>
      <x:c r="J131" s="3"/>
      <x:c r="K131" s="3"/>
      <x:c r="L131" s="6"/>
      <x:c r="M131" s="6"/>
      <x:c r="N131" s="6"/>
      <x:c r="O131" s="6"/>
      <x:c r="P131" s="6"/>
      <x:c r="Q131" s="7"/>
      <x:c r="R131" s="7"/>
      <x:c r="S131" s="7"/>
      <x:c r="T131" s="7"/>
      <x:c r="U131" s="7"/>
      <x:c r="V131" s="7"/>
      <x:c r="W131" s="7"/>
      <x:c r="X131" s="7"/>
      <x:c r="Y131" s="7"/>
      <x:c r="Z131" s="7"/>
      <x:c r="AA131" s="7"/>
      <x:c r="AB131" s="7"/>
      <x:c r="AC131" s="7"/>
      <x:c r="AD131" s="7"/>
      <x:c r="AE131" s="3"/>
      <x:c r="AF131" s="3"/>
      <x:c r="AG131" s="3"/>
      <x:c r="AH131" s="3"/>
      <x:c r="AI131" s="3"/>
      <x:c r="AJ131" s="9" t="str">
        <x:f>IF(A131="","",A131&amp;"|"&amp;B131)</x:f>
      </x:c>
      <x:c r="AK131" s="9" t="str">
        <x:f>IF(A131="",IF(B131="","","MISSING_TEST_ID"),IF(B131="","MISSING_RUN_ID",IF(COUNTIFS($A$2:$A$501,A131,$B$2:$B$501,B131)&lt;&gt;1,"DUPLICATE_ID","OK")))</x:f>
      </x:c>
      <x:c r="AL131" s="9" t="str">
        <x:f>IF(A131="","",IF(AND(AK131="OK",J131="READY",F131&lt;&gt;"",G131&lt;&gt;"",K131&lt;&gt;"",OR(L131="PASS",L131="FAIL"),M131&lt;&gt;"",P131="social-publication-v2"),"YES","NO"))</x:f>
      </x:c>
      <x:c r="AM131" s="9" t="str">
        <x:f>IF(A131="","",IF(AND(AK131="OK",J131="READY",F131&lt;&gt;"",G131&lt;&gt;"",K131&lt;&gt;"",S131="OK",OR(R131="PASS",R131="FAIL")),"YES","NO"))</x:f>
      </x:c>
      <x:c r="AN131" s="9" t="str">
        <x:f>IF(A131="","",F131&amp;" | "&amp;G131&amp;" | "&amp;H131&amp;" | "&amp;I131)</x:f>
      </x:c>
    </x:row>
    <x:row r="132" ht="33" customHeight="1">
      <x:c r="A132" s="3"/>
      <x:c r="B132" s="3"/>
      <x:c r="C132" s="3"/>
      <x:c r="D132" s="3"/>
      <x:c r="E132" s="3"/>
      <x:c r="F132" s="3"/>
      <x:c r="G132" s="3"/>
      <x:c r="H132" s="3"/>
      <x:c r="I132" s="3"/>
      <x:c r="J132" s="3"/>
      <x:c r="K132" s="3"/>
      <x:c r="L132" s="6"/>
      <x:c r="M132" s="6"/>
      <x:c r="N132" s="6"/>
      <x:c r="O132" s="6"/>
      <x:c r="P132" s="6"/>
      <x:c r="Q132" s="7"/>
      <x:c r="R132" s="7"/>
      <x:c r="S132" s="7"/>
      <x:c r="T132" s="7"/>
      <x:c r="U132" s="7"/>
      <x:c r="V132" s="7"/>
      <x:c r="W132" s="7"/>
      <x:c r="X132" s="7"/>
      <x:c r="Y132" s="7"/>
      <x:c r="Z132" s="7"/>
      <x:c r="AA132" s="7"/>
      <x:c r="AB132" s="7"/>
      <x:c r="AC132" s="7"/>
      <x:c r="AD132" s="7"/>
      <x:c r="AE132" s="3"/>
      <x:c r="AF132" s="3"/>
      <x:c r="AG132" s="3"/>
      <x:c r="AH132" s="3"/>
      <x:c r="AI132" s="3"/>
      <x:c r="AJ132" s="9" t="str">
        <x:f>IF(A132="","",A132&amp;"|"&amp;B132)</x:f>
      </x:c>
      <x:c r="AK132" s="9" t="str">
        <x:f>IF(A132="",IF(B132="","","MISSING_TEST_ID"),IF(B132="","MISSING_RUN_ID",IF(COUNTIFS($A$2:$A$501,A132,$B$2:$B$501,B132)&lt;&gt;1,"DUPLICATE_ID","OK")))</x:f>
      </x:c>
      <x:c r="AL132" s="9" t="str">
        <x:f>IF(A132="","",IF(AND(AK132="OK",J132="READY",F132&lt;&gt;"",G132&lt;&gt;"",K132&lt;&gt;"",OR(L132="PASS",L132="FAIL"),M132&lt;&gt;"",P132="social-publication-v2"),"YES","NO"))</x:f>
      </x:c>
      <x:c r="AM132" s="9" t="str">
        <x:f>IF(A132="","",IF(AND(AK132="OK",J132="READY",F132&lt;&gt;"",G132&lt;&gt;"",K132&lt;&gt;"",S132="OK",OR(R132="PASS",R132="FAIL")),"YES","NO"))</x:f>
      </x:c>
      <x:c r="AN132" s="9" t="str">
        <x:f>IF(A132="","",F132&amp;" | "&amp;G132&amp;" | "&amp;H132&amp;" | "&amp;I132)</x:f>
      </x:c>
    </x:row>
    <x:row r="133" ht="33" customHeight="1">
      <x:c r="A133" s="3"/>
      <x:c r="B133" s="3"/>
      <x:c r="C133" s="3"/>
      <x:c r="D133" s="3"/>
      <x:c r="E133" s="3"/>
      <x:c r="F133" s="3"/>
      <x:c r="G133" s="3"/>
      <x:c r="H133" s="3"/>
      <x:c r="I133" s="3"/>
      <x:c r="J133" s="3"/>
      <x:c r="K133" s="3"/>
      <x:c r="L133" s="6"/>
      <x:c r="M133" s="6"/>
      <x:c r="N133" s="6"/>
      <x:c r="O133" s="6"/>
      <x:c r="P133" s="6"/>
      <x:c r="Q133" s="7"/>
      <x:c r="R133" s="7"/>
      <x:c r="S133" s="7"/>
      <x:c r="T133" s="7"/>
      <x:c r="U133" s="7"/>
      <x:c r="V133" s="7"/>
      <x:c r="W133" s="7"/>
      <x:c r="X133" s="7"/>
      <x:c r="Y133" s="7"/>
      <x:c r="Z133" s="7"/>
      <x:c r="AA133" s="7"/>
      <x:c r="AB133" s="7"/>
      <x:c r="AC133" s="7"/>
      <x:c r="AD133" s="7"/>
      <x:c r="AE133" s="3"/>
      <x:c r="AF133" s="3"/>
      <x:c r="AG133" s="3"/>
      <x:c r="AH133" s="3"/>
      <x:c r="AI133" s="3"/>
      <x:c r="AJ133" s="9" t="str">
        <x:f>IF(A133="","",A133&amp;"|"&amp;B133)</x:f>
      </x:c>
      <x:c r="AK133" s="9" t="str">
        <x:f>IF(A133="",IF(B133="","","MISSING_TEST_ID"),IF(B133="","MISSING_RUN_ID",IF(COUNTIFS($A$2:$A$501,A133,$B$2:$B$501,B133)&lt;&gt;1,"DUPLICATE_ID","OK")))</x:f>
      </x:c>
      <x:c r="AL133" s="9" t="str">
        <x:f>IF(A133="","",IF(AND(AK133="OK",J133="READY",F133&lt;&gt;"",G133&lt;&gt;"",K133&lt;&gt;"",OR(L133="PASS",L133="FAIL"),M133&lt;&gt;"",P133="social-publication-v2"),"YES","NO"))</x:f>
      </x:c>
      <x:c r="AM133" s="9" t="str">
        <x:f>IF(A133="","",IF(AND(AK133="OK",J133="READY",F133&lt;&gt;"",G133&lt;&gt;"",K133&lt;&gt;"",S133="OK",OR(R133="PASS",R133="FAIL")),"YES","NO"))</x:f>
      </x:c>
      <x:c r="AN133" s="9" t="str">
        <x:f>IF(A133="","",F133&amp;" | "&amp;G133&amp;" | "&amp;H133&amp;" | "&amp;I133)</x:f>
      </x:c>
    </x:row>
    <x:row r="134" ht="33" customHeight="1">
      <x:c r="A134" s="3"/>
      <x:c r="B134" s="3"/>
      <x:c r="C134" s="3"/>
      <x:c r="D134" s="3"/>
      <x:c r="E134" s="3"/>
      <x:c r="F134" s="3"/>
      <x:c r="G134" s="3"/>
      <x:c r="H134" s="3"/>
      <x:c r="I134" s="3"/>
      <x:c r="J134" s="3"/>
      <x:c r="K134" s="3"/>
      <x:c r="L134" s="6"/>
      <x:c r="M134" s="6"/>
      <x:c r="N134" s="6"/>
      <x:c r="O134" s="6"/>
      <x:c r="P134" s="6"/>
      <x:c r="Q134" s="7"/>
      <x:c r="R134" s="7"/>
      <x:c r="S134" s="7"/>
      <x:c r="T134" s="7"/>
      <x:c r="U134" s="7"/>
      <x:c r="V134" s="7"/>
      <x:c r="W134" s="7"/>
      <x:c r="X134" s="7"/>
      <x:c r="Y134" s="7"/>
      <x:c r="Z134" s="7"/>
      <x:c r="AA134" s="7"/>
      <x:c r="AB134" s="7"/>
      <x:c r="AC134" s="7"/>
      <x:c r="AD134" s="7"/>
      <x:c r="AE134" s="3"/>
      <x:c r="AF134" s="3"/>
      <x:c r="AG134" s="3"/>
      <x:c r="AH134" s="3"/>
      <x:c r="AI134" s="3"/>
      <x:c r="AJ134" s="9" t="str">
        <x:f>IF(A134="","",A134&amp;"|"&amp;B134)</x:f>
      </x:c>
      <x:c r="AK134" s="9" t="str">
        <x:f>IF(A134="",IF(B134="","","MISSING_TEST_ID"),IF(B134="","MISSING_RUN_ID",IF(COUNTIFS($A$2:$A$501,A134,$B$2:$B$501,B134)&lt;&gt;1,"DUPLICATE_ID","OK")))</x:f>
      </x:c>
      <x:c r="AL134" s="9" t="str">
        <x:f>IF(A134="","",IF(AND(AK134="OK",J134="READY",F134&lt;&gt;"",G134&lt;&gt;"",K134&lt;&gt;"",OR(L134="PASS",L134="FAIL"),M134&lt;&gt;"",P134="social-publication-v2"),"YES","NO"))</x:f>
      </x:c>
      <x:c r="AM134" s="9" t="str">
        <x:f>IF(A134="","",IF(AND(AK134="OK",J134="READY",F134&lt;&gt;"",G134&lt;&gt;"",K134&lt;&gt;"",S134="OK",OR(R134="PASS",R134="FAIL")),"YES","NO"))</x:f>
      </x:c>
      <x:c r="AN134" s="9" t="str">
        <x:f>IF(A134="","",F134&amp;" | "&amp;G134&amp;" | "&amp;H134&amp;" | "&amp;I134)</x:f>
      </x:c>
    </x:row>
    <x:row r="135" ht="33" customHeight="1">
      <x:c r="A135" s="3"/>
      <x:c r="B135" s="3"/>
      <x:c r="C135" s="3"/>
      <x:c r="D135" s="3"/>
      <x:c r="E135" s="3"/>
      <x:c r="F135" s="3"/>
      <x:c r="G135" s="3"/>
      <x:c r="H135" s="3"/>
      <x:c r="I135" s="3"/>
      <x:c r="J135" s="3"/>
      <x:c r="K135" s="3"/>
      <x:c r="L135" s="6"/>
      <x:c r="M135" s="6"/>
      <x:c r="N135" s="6"/>
      <x:c r="O135" s="6"/>
      <x:c r="P135" s="6"/>
      <x:c r="Q135" s="7"/>
      <x:c r="R135" s="7"/>
      <x:c r="S135" s="7"/>
      <x:c r="T135" s="7"/>
      <x:c r="U135" s="7"/>
      <x:c r="V135" s="7"/>
      <x:c r="W135" s="7"/>
      <x:c r="X135" s="7"/>
      <x:c r="Y135" s="7"/>
      <x:c r="Z135" s="7"/>
      <x:c r="AA135" s="7"/>
      <x:c r="AB135" s="7"/>
      <x:c r="AC135" s="7"/>
      <x:c r="AD135" s="7"/>
      <x:c r="AE135" s="3"/>
      <x:c r="AF135" s="3"/>
      <x:c r="AG135" s="3"/>
      <x:c r="AH135" s="3"/>
      <x:c r="AI135" s="3"/>
      <x:c r="AJ135" s="9" t="str">
        <x:f>IF(A135="","",A135&amp;"|"&amp;B135)</x:f>
      </x:c>
      <x:c r="AK135" s="9" t="str">
        <x:f>IF(A135="",IF(B135="","","MISSING_TEST_ID"),IF(B135="","MISSING_RUN_ID",IF(COUNTIFS($A$2:$A$501,A135,$B$2:$B$501,B135)&lt;&gt;1,"DUPLICATE_ID","OK")))</x:f>
      </x:c>
      <x:c r="AL135" s="9" t="str">
        <x:f>IF(A135="","",IF(AND(AK135="OK",J135="READY",F135&lt;&gt;"",G135&lt;&gt;"",K135&lt;&gt;"",OR(L135="PASS",L135="FAIL"),M135&lt;&gt;"",P135="social-publication-v2"),"YES","NO"))</x:f>
      </x:c>
      <x:c r="AM135" s="9" t="str">
        <x:f>IF(A135="","",IF(AND(AK135="OK",J135="READY",F135&lt;&gt;"",G135&lt;&gt;"",K135&lt;&gt;"",S135="OK",OR(R135="PASS",R135="FAIL")),"YES","NO"))</x:f>
      </x:c>
      <x:c r="AN135" s="9" t="str">
        <x:f>IF(A135="","",F135&amp;" | "&amp;G135&amp;" | "&amp;H135&amp;" | "&amp;I135)</x:f>
      </x:c>
    </x:row>
    <x:row r="136" ht="33" customHeight="1">
      <x:c r="A136" s="3"/>
      <x:c r="B136" s="3"/>
      <x:c r="C136" s="3"/>
      <x:c r="D136" s="3"/>
      <x:c r="E136" s="3"/>
      <x:c r="F136" s="3"/>
      <x:c r="G136" s="3"/>
      <x:c r="H136" s="3"/>
      <x:c r="I136" s="3"/>
      <x:c r="J136" s="3"/>
      <x:c r="K136" s="3"/>
      <x:c r="L136" s="6"/>
      <x:c r="M136" s="6"/>
      <x:c r="N136" s="6"/>
      <x:c r="O136" s="6"/>
      <x:c r="P136" s="6"/>
      <x:c r="Q136" s="7"/>
      <x:c r="R136" s="7"/>
      <x:c r="S136" s="7"/>
      <x:c r="T136" s="7"/>
      <x:c r="U136" s="7"/>
      <x:c r="V136" s="7"/>
      <x:c r="W136" s="7"/>
      <x:c r="X136" s="7"/>
      <x:c r="Y136" s="7"/>
      <x:c r="Z136" s="7"/>
      <x:c r="AA136" s="7"/>
      <x:c r="AB136" s="7"/>
      <x:c r="AC136" s="7"/>
      <x:c r="AD136" s="7"/>
      <x:c r="AE136" s="3"/>
      <x:c r="AF136" s="3"/>
      <x:c r="AG136" s="3"/>
      <x:c r="AH136" s="3"/>
      <x:c r="AI136" s="3"/>
      <x:c r="AJ136" s="9" t="str">
        <x:f>IF(A136="","",A136&amp;"|"&amp;B136)</x:f>
      </x:c>
      <x:c r="AK136" s="9" t="str">
        <x:f>IF(A136="",IF(B136="","","MISSING_TEST_ID"),IF(B136="","MISSING_RUN_ID",IF(COUNTIFS($A$2:$A$501,A136,$B$2:$B$501,B136)&lt;&gt;1,"DUPLICATE_ID","OK")))</x:f>
      </x:c>
      <x:c r="AL136" s="9" t="str">
        <x:f>IF(A136="","",IF(AND(AK136="OK",J136="READY",F136&lt;&gt;"",G136&lt;&gt;"",K136&lt;&gt;"",OR(L136="PASS",L136="FAIL"),M136&lt;&gt;"",P136="social-publication-v2"),"YES","NO"))</x:f>
      </x:c>
      <x:c r="AM136" s="9" t="str">
        <x:f>IF(A136="","",IF(AND(AK136="OK",J136="READY",F136&lt;&gt;"",G136&lt;&gt;"",K136&lt;&gt;"",S136="OK",OR(R136="PASS",R136="FAIL")),"YES","NO"))</x:f>
      </x:c>
      <x:c r="AN136" s="9" t="str">
        <x:f>IF(A136="","",F136&amp;" | "&amp;G136&amp;" | "&amp;H136&amp;" | "&amp;I136)</x:f>
      </x:c>
    </x:row>
    <x:row r="137" ht="33" customHeight="1">
      <x:c r="A137" s="3"/>
      <x:c r="B137" s="3"/>
      <x:c r="C137" s="3"/>
      <x:c r="D137" s="3"/>
      <x:c r="E137" s="3"/>
      <x:c r="F137" s="3"/>
      <x:c r="G137" s="3"/>
      <x:c r="H137" s="3"/>
      <x:c r="I137" s="3"/>
      <x:c r="J137" s="3"/>
      <x:c r="K137" s="3"/>
      <x:c r="L137" s="6"/>
      <x:c r="M137" s="6"/>
      <x:c r="N137" s="6"/>
      <x:c r="O137" s="6"/>
      <x:c r="P137" s="6"/>
      <x:c r="Q137" s="7"/>
      <x:c r="R137" s="7"/>
      <x:c r="S137" s="7"/>
      <x:c r="T137" s="7"/>
      <x:c r="U137" s="7"/>
      <x:c r="V137" s="7"/>
      <x:c r="W137" s="7"/>
      <x:c r="X137" s="7"/>
      <x:c r="Y137" s="7"/>
      <x:c r="Z137" s="7"/>
      <x:c r="AA137" s="7"/>
      <x:c r="AB137" s="7"/>
      <x:c r="AC137" s="7"/>
      <x:c r="AD137" s="7"/>
      <x:c r="AE137" s="3"/>
      <x:c r="AF137" s="3"/>
      <x:c r="AG137" s="3"/>
      <x:c r="AH137" s="3"/>
      <x:c r="AI137" s="3"/>
      <x:c r="AJ137" s="9" t="str">
        <x:f>IF(A137="","",A137&amp;"|"&amp;B137)</x:f>
      </x:c>
      <x:c r="AK137" s="9" t="str">
        <x:f>IF(A137="",IF(B137="","","MISSING_TEST_ID"),IF(B137="","MISSING_RUN_ID",IF(COUNTIFS($A$2:$A$501,A137,$B$2:$B$501,B137)&lt;&gt;1,"DUPLICATE_ID","OK")))</x:f>
      </x:c>
      <x:c r="AL137" s="9" t="str">
        <x:f>IF(A137="","",IF(AND(AK137="OK",J137="READY",F137&lt;&gt;"",G137&lt;&gt;"",K137&lt;&gt;"",OR(L137="PASS",L137="FAIL"),M137&lt;&gt;"",P137="social-publication-v2"),"YES","NO"))</x:f>
      </x:c>
      <x:c r="AM137" s="9" t="str">
        <x:f>IF(A137="","",IF(AND(AK137="OK",J137="READY",F137&lt;&gt;"",G137&lt;&gt;"",K137&lt;&gt;"",S137="OK",OR(R137="PASS",R137="FAIL")),"YES","NO"))</x:f>
      </x:c>
      <x:c r="AN137" s="9" t="str">
        <x:f>IF(A137="","",F137&amp;" | "&amp;G137&amp;" | "&amp;H137&amp;" | "&amp;I137)</x:f>
      </x:c>
    </x:row>
    <x:row r="138" ht="33" customHeight="1">
      <x:c r="A138" s="3"/>
      <x:c r="B138" s="3"/>
      <x:c r="C138" s="3"/>
      <x:c r="D138" s="3"/>
      <x:c r="E138" s="3"/>
      <x:c r="F138" s="3"/>
      <x:c r="G138" s="3"/>
      <x:c r="H138" s="3"/>
      <x:c r="I138" s="3"/>
      <x:c r="J138" s="3"/>
      <x:c r="K138" s="3"/>
      <x:c r="L138" s="6"/>
      <x:c r="M138" s="6"/>
      <x:c r="N138" s="6"/>
      <x:c r="O138" s="6"/>
      <x:c r="P138" s="6"/>
      <x:c r="Q138" s="7"/>
      <x:c r="R138" s="7"/>
      <x:c r="S138" s="7"/>
      <x:c r="T138" s="7"/>
      <x:c r="U138" s="7"/>
      <x:c r="V138" s="7"/>
      <x:c r="W138" s="7"/>
      <x:c r="X138" s="7"/>
      <x:c r="Y138" s="7"/>
      <x:c r="Z138" s="7"/>
      <x:c r="AA138" s="7"/>
      <x:c r="AB138" s="7"/>
      <x:c r="AC138" s="7"/>
      <x:c r="AD138" s="7"/>
      <x:c r="AE138" s="3"/>
      <x:c r="AF138" s="3"/>
      <x:c r="AG138" s="3"/>
      <x:c r="AH138" s="3"/>
      <x:c r="AI138" s="3"/>
      <x:c r="AJ138" s="9" t="str">
        <x:f>IF(A138="","",A138&amp;"|"&amp;B138)</x:f>
      </x:c>
      <x:c r="AK138" s="9" t="str">
        <x:f>IF(A138="",IF(B138="","","MISSING_TEST_ID"),IF(B138="","MISSING_RUN_ID",IF(COUNTIFS($A$2:$A$501,A138,$B$2:$B$501,B138)&lt;&gt;1,"DUPLICATE_ID","OK")))</x:f>
      </x:c>
      <x:c r="AL138" s="9" t="str">
        <x:f>IF(A138="","",IF(AND(AK138="OK",J138="READY",F138&lt;&gt;"",G138&lt;&gt;"",K138&lt;&gt;"",OR(L138="PASS",L138="FAIL"),M138&lt;&gt;"",P138="social-publication-v2"),"YES","NO"))</x:f>
      </x:c>
      <x:c r="AM138" s="9" t="str">
        <x:f>IF(A138="","",IF(AND(AK138="OK",J138="READY",F138&lt;&gt;"",G138&lt;&gt;"",K138&lt;&gt;"",S138="OK",OR(R138="PASS",R138="FAIL")),"YES","NO"))</x:f>
      </x:c>
      <x:c r="AN138" s="9" t="str">
        <x:f>IF(A138="","",F138&amp;" | "&amp;G138&amp;" | "&amp;H138&amp;" | "&amp;I138)</x:f>
      </x:c>
    </x:row>
    <x:row r="139" ht="33" customHeight="1">
      <x:c r="A139" s="3"/>
      <x:c r="B139" s="3"/>
      <x:c r="C139" s="3"/>
      <x:c r="D139" s="3"/>
      <x:c r="E139" s="3"/>
      <x:c r="F139" s="3"/>
      <x:c r="G139" s="3"/>
      <x:c r="H139" s="3"/>
      <x:c r="I139" s="3"/>
      <x:c r="J139" s="3"/>
      <x:c r="K139" s="3"/>
      <x:c r="L139" s="6"/>
      <x:c r="M139" s="6"/>
      <x:c r="N139" s="6"/>
      <x:c r="O139" s="6"/>
      <x:c r="P139" s="6"/>
      <x:c r="Q139" s="7"/>
      <x:c r="R139" s="7"/>
      <x:c r="S139" s="7"/>
      <x:c r="T139" s="7"/>
      <x:c r="U139" s="7"/>
      <x:c r="V139" s="7"/>
      <x:c r="W139" s="7"/>
      <x:c r="X139" s="7"/>
      <x:c r="Y139" s="7"/>
      <x:c r="Z139" s="7"/>
      <x:c r="AA139" s="7"/>
      <x:c r="AB139" s="7"/>
      <x:c r="AC139" s="7"/>
      <x:c r="AD139" s="7"/>
      <x:c r="AE139" s="3"/>
      <x:c r="AF139" s="3"/>
      <x:c r="AG139" s="3"/>
      <x:c r="AH139" s="3"/>
      <x:c r="AI139" s="3"/>
      <x:c r="AJ139" s="9" t="str">
        <x:f>IF(A139="","",A139&amp;"|"&amp;B139)</x:f>
      </x:c>
      <x:c r="AK139" s="9" t="str">
        <x:f>IF(A139="",IF(B139="","","MISSING_TEST_ID"),IF(B139="","MISSING_RUN_ID",IF(COUNTIFS($A$2:$A$501,A139,$B$2:$B$501,B139)&lt;&gt;1,"DUPLICATE_ID","OK")))</x:f>
      </x:c>
      <x:c r="AL139" s="9" t="str">
        <x:f>IF(A139="","",IF(AND(AK139="OK",J139="READY",F139&lt;&gt;"",G139&lt;&gt;"",K139&lt;&gt;"",OR(L139="PASS",L139="FAIL"),M139&lt;&gt;"",P139="social-publication-v2"),"YES","NO"))</x:f>
      </x:c>
      <x:c r="AM139" s="9" t="str">
        <x:f>IF(A139="","",IF(AND(AK139="OK",J139="READY",F139&lt;&gt;"",G139&lt;&gt;"",K139&lt;&gt;"",S139="OK",OR(R139="PASS",R139="FAIL")),"YES","NO"))</x:f>
      </x:c>
      <x:c r="AN139" s="9" t="str">
        <x:f>IF(A139="","",F139&amp;" | "&amp;G139&amp;" | "&amp;H139&amp;" | "&amp;I139)</x:f>
      </x:c>
    </x:row>
    <x:row r="140" ht="33" customHeight="1">
      <x:c r="A140" s="3"/>
      <x:c r="B140" s="3"/>
      <x:c r="C140" s="3"/>
      <x:c r="D140" s="3"/>
      <x:c r="E140" s="3"/>
      <x:c r="F140" s="3"/>
      <x:c r="G140" s="3"/>
      <x:c r="H140" s="3"/>
      <x:c r="I140" s="3"/>
      <x:c r="J140" s="3"/>
      <x:c r="K140" s="3"/>
      <x:c r="L140" s="6"/>
      <x:c r="M140" s="6"/>
      <x:c r="N140" s="6"/>
      <x:c r="O140" s="6"/>
      <x:c r="P140" s="6"/>
      <x:c r="Q140" s="7"/>
      <x:c r="R140" s="7"/>
      <x:c r="S140" s="7"/>
      <x:c r="T140" s="7"/>
      <x:c r="U140" s="7"/>
      <x:c r="V140" s="7"/>
      <x:c r="W140" s="7"/>
      <x:c r="X140" s="7"/>
      <x:c r="Y140" s="7"/>
      <x:c r="Z140" s="7"/>
      <x:c r="AA140" s="7"/>
      <x:c r="AB140" s="7"/>
      <x:c r="AC140" s="7"/>
      <x:c r="AD140" s="7"/>
      <x:c r="AE140" s="3"/>
      <x:c r="AF140" s="3"/>
      <x:c r="AG140" s="3"/>
      <x:c r="AH140" s="3"/>
      <x:c r="AI140" s="3"/>
      <x:c r="AJ140" s="9" t="str">
        <x:f>IF(A140="","",A140&amp;"|"&amp;B140)</x:f>
      </x:c>
      <x:c r="AK140" s="9" t="str">
        <x:f>IF(A140="",IF(B140="","","MISSING_TEST_ID"),IF(B140="","MISSING_RUN_ID",IF(COUNTIFS($A$2:$A$501,A140,$B$2:$B$501,B140)&lt;&gt;1,"DUPLICATE_ID","OK")))</x:f>
      </x:c>
      <x:c r="AL140" s="9" t="str">
        <x:f>IF(A140="","",IF(AND(AK140="OK",J140="READY",F140&lt;&gt;"",G140&lt;&gt;"",K140&lt;&gt;"",OR(L140="PASS",L140="FAIL"),M140&lt;&gt;"",P140="social-publication-v2"),"YES","NO"))</x:f>
      </x:c>
      <x:c r="AM140" s="9" t="str">
        <x:f>IF(A140="","",IF(AND(AK140="OK",J140="READY",F140&lt;&gt;"",G140&lt;&gt;"",K140&lt;&gt;"",S140="OK",OR(R140="PASS",R140="FAIL")),"YES","NO"))</x:f>
      </x:c>
      <x:c r="AN140" s="9" t="str">
        <x:f>IF(A140="","",F140&amp;" | "&amp;G140&amp;" | "&amp;H140&amp;" | "&amp;I140)</x:f>
      </x:c>
    </x:row>
    <x:row r="141" ht="33" customHeight="1">
      <x:c r="A141" s="3"/>
      <x:c r="B141" s="3"/>
      <x:c r="C141" s="3"/>
      <x:c r="D141" s="3"/>
      <x:c r="E141" s="3"/>
      <x:c r="F141" s="3"/>
      <x:c r="G141" s="3"/>
      <x:c r="H141" s="3"/>
      <x:c r="I141" s="3"/>
      <x:c r="J141" s="3"/>
      <x:c r="K141" s="3"/>
      <x:c r="L141" s="6"/>
      <x:c r="M141" s="6"/>
      <x:c r="N141" s="6"/>
      <x:c r="O141" s="6"/>
      <x:c r="P141" s="6"/>
      <x:c r="Q141" s="7"/>
      <x:c r="R141" s="7"/>
      <x:c r="S141" s="7"/>
      <x:c r="T141" s="7"/>
      <x:c r="U141" s="7"/>
      <x:c r="V141" s="7"/>
      <x:c r="W141" s="7"/>
      <x:c r="X141" s="7"/>
      <x:c r="Y141" s="7"/>
      <x:c r="Z141" s="7"/>
      <x:c r="AA141" s="7"/>
      <x:c r="AB141" s="7"/>
      <x:c r="AC141" s="7"/>
      <x:c r="AD141" s="7"/>
      <x:c r="AE141" s="3"/>
      <x:c r="AF141" s="3"/>
      <x:c r="AG141" s="3"/>
      <x:c r="AH141" s="3"/>
      <x:c r="AI141" s="3"/>
      <x:c r="AJ141" s="9" t="str">
        <x:f>IF(A141="","",A141&amp;"|"&amp;B141)</x:f>
      </x:c>
      <x:c r="AK141" s="9" t="str">
        <x:f>IF(A141="",IF(B141="","","MISSING_TEST_ID"),IF(B141="","MISSING_RUN_ID",IF(COUNTIFS($A$2:$A$501,A141,$B$2:$B$501,B141)&lt;&gt;1,"DUPLICATE_ID","OK")))</x:f>
      </x:c>
      <x:c r="AL141" s="9" t="str">
        <x:f>IF(A141="","",IF(AND(AK141="OK",J141="READY",F141&lt;&gt;"",G141&lt;&gt;"",K141&lt;&gt;"",OR(L141="PASS",L141="FAIL"),M141&lt;&gt;"",P141="social-publication-v2"),"YES","NO"))</x:f>
      </x:c>
      <x:c r="AM141" s="9" t="str">
        <x:f>IF(A141="","",IF(AND(AK141="OK",J141="READY",F141&lt;&gt;"",G141&lt;&gt;"",K141&lt;&gt;"",S141="OK",OR(R141="PASS",R141="FAIL")),"YES","NO"))</x:f>
      </x:c>
      <x:c r="AN141" s="9" t="str">
        <x:f>IF(A141="","",F141&amp;" | "&amp;G141&amp;" | "&amp;H141&amp;" | "&amp;I141)</x:f>
      </x:c>
    </x:row>
    <x:row r="142" ht="33" customHeight="1">
      <x:c r="A142" s="3"/>
      <x:c r="B142" s="3"/>
      <x:c r="C142" s="3"/>
      <x:c r="D142" s="3"/>
      <x:c r="E142" s="3"/>
      <x:c r="F142" s="3"/>
      <x:c r="G142" s="3"/>
      <x:c r="H142" s="3"/>
      <x:c r="I142" s="3"/>
      <x:c r="J142" s="3"/>
      <x:c r="K142" s="3"/>
      <x:c r="L142" s="6"/>
      <x:c r="M142" s="6"/>
      <x:c r="N142" s="6"/>
      <x:c r="O142" s="6"/>
      <x:c r="P142" s="6"/>
      <x:c r="Q142" s="7"/>
      <x:c r="R142" s="7"/>
      <x:c r="S142" s="7"/>
      <x:c r="T142" s="7"/>
      <x:c r="U142" s="7"/>
      <x:c r="V142" s="7"/>
      <x:c r="W142" s="7"/>
      <x:c r="X142" s="7"/>
      <x:c r="Y142" s="7"/>
      <x:c r="Z142" s="7"/>
      <x:c r="AA142" s="7"/>
      <x:c r="AB142" s="7"/>
      <x:c r="AC142" s="7"/>
      <x:c r="AD142" s="7"/>
      <x:c r="AE142" s="3"/>
      <x:c r="AF142" s="3"/>
      <x:c r="AG142" s="3"/>
      <x:c r="AH142" s="3"/>
      <x:c r="AI142" s="3"/>
      <x:c r="AJ142" s="9" t="str">
        <x:f>IF(A142="","",A142&amp;"|"&amp;B142)</x:f>
      </x:c>
      <x:c r="AK142" s="9" t="str">
        <x:f>IF(A142="",IF(B142="","","MISSING_TEST_ID"),IF(B142="","MISSING_RUN_ID",IF(COUNTIFS($A$2:$A$501,A142,$B$2:$B$501,B142)&lt;&gt;1,"DUPLICATE_ID","OK")))</x:f>
      </x:c>
      <x:c r="AL142" s="9" t="str">
        <x:f>IF(A142="","",IF(AND(AK142="OK",J142="READY",F142&lt;&gt;"",G142&lt;&gt;"",K142&lt;&gt;"",OR(L142="PASS",L142="FAIL"),M142&lt;&gt;"",P142="social-publication-v2"),"YES","NO"))</x:f>
      </x:c>
      <x:c r="AM142" s="9" t="str">
        <x:f>IF(A142="","",IF(AND(AK142="OK",J142="READY",F142&lt;&gt;"",G142&lt;&gt;"",K142&lt;&gt;"",S142="OK",OR(R142="PASS",R142="FAIL")),"YES","NO"))</x:f>
      </x:c>
      <x:c r="AN142" s="9" t="str">
        <x:f>IF(A142="","",F142&amp;" | "&amp;G142&amp;" | "&amp;H142&amp;" | "&amp;I142)</x:f>
      </x:c>
    </x:row>
    <x:row r="143" ht="33" customHeight="1">
      <x:c r="A143" s="3"/>
      <x:c r="B143" s="3"/>
      <x:c r="C143" s="3"/>
      <x:c r="D143" s="3"/>
      <x:c r="E143" s="3"/>
      <x:c r="F143" s="3"/>
      <x:c r="G143" s="3"/>
      <x:c r="H143" s="3"/>
      <x:c r="I143" s="3"/>
      <x:c r="J143" s="3"/>
      <x:c r="K143" s="3"/>
      <x:c r="L143" s="6"/>
      <x:c r="M143" s="6"/>
      <x:c r="N143" s="6"/>
      <x:c r="O143" s="6"/>
      <x:c r="P143" s="6"/>
      <x:c r="Q143" s="7"/>
      <x:c r="R143" s="7"/>
      <x:c r="S143" s="7"/>
      <x:c r="T143" s="7"/>
      <x:c r="U143" s="7"/>
      <x:c r="V143" s="7"/>
      <x:c r="W143" s="7"/>
      <x:c r="X143" s="7"/>
      <x:c r="Y143" s="7"/>
      <x:c r="Z143" s="7"/>
      <x:c r="AA143" s="7"/>
      <x:c r="AB143" s="7"/>
      <x:c r="AC143" s="7"/>
      <x:c r="AD143" s="7"/>
      <x:c r="AE143" s="3"/>
      <x:c r="AF143" s="3"/>
      <x:c r="AG143" s="3"/>
      <x:c r="AH143" s="3"/>
      <x:c r="AI143" s="3"/>
      <x:c r="AJ143" s="9" t="str">
        <x:f>IF(A143="","",A143&amp;"|"&amp;B143)</x:f>
      </x:c>
      <x:c r="AK143" s="9" t="str">
        <x:f>IF(A143="",IF(B143="","","MISSING_TEST_ID"),IF(B143="","MISSING_RUN_ID",IF(COUNTIFS($A$2:$A$501,A143,$B$2:$B$501,B143)&lt;&gt;1,"DUPLICATE_ID","OK")))</x:f>
      </x:c>
      <x:c r="AL143" s="9" t="str">
        <x:f>IF(A143="","",IF(AND(AK143="OK",J143="READY",F143&lt;&gt;"",G143&lt;&gt;"",K143&lt;&gt;"",OR(L143="PASS",L143="FAIL"),M143&lt;&gt;"",P143="social-publication-v2"),"YES","NO"))</x:f>
      </x:c>
      <x:c r="AM143" s="9" t="str">
        <x:f>IF(A143="","",IF(AND(AK143="OK",J143="READY",F143&lt;&gt;"",G143&lt;&gt;"",K143&lt;&gt;"",S143="OK",OR(R143="PASS",R143="FAIL")),"YES","NO"))</x:f>
      </x:c>
      <x:c r="AN143" s="9" t="str">
        <x:f>IF(A143="","",F143&amp;" | "&amp;G143&amp;" | "&amp;H143&amp;" | "&amp;I143)</x:f>
      </x:c>
    </x:row>
    <x:row r="144" ht="33" customHeight="1">
      <x:c r="A144" s="3"/>
      <x:c r="B144" s="3"/>
      <x:c r="C144" s="3"/>
      <x:c r="D144" s="3"/>
      <x:c r="E144" s="3"/>
      <x:c r="F144" s="3"/>
      <x:c r="G144" s="3"/>
      <x:c r="H144" s="3"/>
      <x:c r="I144" s="3"/>
      <x:c r="J144" s="3"/>
      <x:c r="K144" s="3"/>
      <x:c r="L144" s="6"/>
      <x:c r="M144" s="6"/>
      <x:c r="N144" s="6"/>
      <x:c r="O144" s="6"/>
      <x:c r="P144" s="6"/>
      <x:c r="Q144" s="7"/>
      <x:c r="R144" s="7"/>
      <x:c r="S144" s="7"/>
      <x:c r="T144" s="7"/>
      <x:c r="U144" s="7"/>
      <x:c r="V144" s="7"/>
      <x:c r="W144" s="7"/>
      <x:c r="X144" s="7"/>
      <x:c r="Y144" s="7"/>
      <x:c r="Z144" s="7"/>
      <x:c r="AA144" s="7"/>
      <x:c r="AB144" s="7"/>
      <x:c r="AC144" s="7"/>
      <x:c r="AD144" s="7"/>
      <x:c r="AE144" s="3"/>
      <x:c r="AF144" s="3"/>
      <x:c r="AG144" s="3"/>
      <x:c r="AH144" s="3"/>
      <x:c r="AI144" s="3"/>
      <x:c r="AJ144" s="9" t="str">
        <x:f>IF(A144="","",A144&amp;"|"&amp;B144)</x:f>
      </x:c>
      <x:c r="AK144" s="9" t="str">
        <x:f>IF(A144="",IF(B144="","","MISSING_TEST_ID"),IF(B144="","MISSING_RUN_ID",IF(COUNTIFS($A$2:$A$501,A144,$B$2:$B$501,B144)&lt;&gt;1,"DUPLICATE_ID","OK")))</x:f>
      </x:c>
      <x:c r="AL144" s="9" t="str">
        <x:f>IF(A144="","",IF(AND(AK144="OK",J144="READY",F144&lt;&gt;"",G144&lt;&gt;"",K144&lt;&gt;"",OR(L144="PASS",L144="FAIL"),M144&lt;&gt;"",P144="social-publication-v2"),"YES","NO"))</x:f>
      </x:c>
      <x:c r="AM144" s="9" t="str">
        <x:f>IF(A144="","",IF(AND(AK144="OK",J144="READY",F144&lt;&gt;"",G144&lt;&gt;"",K144&lt;&gt;"",S144="OK",OR(R144="PASS",R144="FAIL")),"YES","NO"))</x:f>
      </x:c>
      <x:c r="AN144" s="9" t="str">
        <x:f>IF(A144="","",F144&amp;" | "&amp;G144&amp;" | "&amp;H144&amp;" | "&amp;I144)</x:f>
      </x:c>
    </x:row>
    <x:row r="145" ht="33" customHeight="1">
      <x:c r="A145" s="3"/>
      <x:c r="B145" s="3"/>
      <x:c r="C145" s="3"/>
      <x:c r="D145" s="3"/>
      <x:c r="E145" s="3"/>
      <x:c r="F145" s="3"/>
      <x:c r="G145" s="3"/>
      <x:c r="H145" s="3"/>
      <x:c r="I145" s="3"/>
      <x:c r="J145" s="3"/>
      <x:c r="K145" s="3"/>
      <x:c r="L145" s="6"/>
      <x:c r="M145" s="6"/>
      <x:c r="N145" s="6"/>
      <x:c r="O145" s="6"/>
      <x:c r="P145" s="6"/>
      <x:c r="Q145" s="7"/>
      <x:c r="R145" s="7"/>
      <x:c r="S145" s="7"/>
      <x:c r="T145" s="7"/>
      <x:c r="U145" s="7"/>
      <x:c r="V145" s="7"/>
      <x:c r="W145" s="7"/>
      <x:c r="X145" s="7"/>
      <x:c r="Y145" s="7"/>
      <x:c r="Z145" s="7"/>
      <x:c r="AA145" s="7"/>
      <x:c r="AB145" s="7"/>
      <x:c r="AC145" s="7"/>
      <x:c r="AD145" s="7"/>
      <x:c r="AE145" s="3"/>
      <x:c r="AF145" s="3"/>
      <x:c r="AG145" s="3"/>
      <x:c r="AH145" s="3"/>
      <x:c r="AI145" s="3"/>
      <x:c r="AJ145" s="9" t="str">
        <x:f>IF(A145="","",A145&amp;"|"&amp;B145)</x:f>
      </x:c>
      <x:c r="AK145" s="9" t="str">
        <x:f>IF(A145="",IF(B145="","","MISSING_TEST_ID"),IF(B145="","MISSING_RUN_ID",IF(COUNTIFS($A$2:$A$501,A145,$B$2:$B$501,B145)&lt;&gt;1,"DUPLICATE_ID","OK")))</x:f>
      </x:c>
      <x:c r="AL145" s="9" t="str">
        <x:f>IF(A145="","",IF(AND(AK145="OK",J145="READY",F145&lt;&gt;"",G145&lt;&gt;"",K145&lt;&gt;"",OR(L145="PASS",L145="FAIL"),M145&lt;&gt;"",P145="social-publication-v2"),"YES","NO"))</x:f>
      </x:c>
      <x:c r="AM145" s="9" t="str">
        <x:f>IF(A145="","",IF(AND(AK145="OK",J145="READY",F145&lt;&gt;"",G145&lt;&gt;"",K145&lt;&gt;"",S145="OK",OR(R145="PASS",R145="FAIL")),"YES","NO"))</x:f>
      </x:c>
      <x:c r="AN145" s="9" t="str">
        <x:f>IF(A145="","",F145&amp;" | "&amp;G145&amp;" | "&amp;H145&amp;" | "&amp;I145)</x:f>
      </x:c>
    </x:row>
    <x:row r="146" ht="33" customHeight="1">
      <x:c r="A146" s="3"/>
      <x:c r="B146" s="3"/>
      <x:c r="C146" s="3"/>
      <x:c r="D146" s="3"/>
      <x:c r="E146" s="3"/>
      <x:c r="F146" s="3"/>
      <x:c r="G146" s="3"/>
      <x:c r="H146" s="3"/>
      <x:c r="I146" s="3"/>
      <x:c r="J146" s="3"/>
      <x:c r="K146" s="3"/>
      <x:c r="L146" s="6"/>
      <x:c r="M146" s="6"/>
      <x:c r="N146" s="6"/>
      <x:c r="O146" s="6"/>
      <x:c r="P146" s="6"/>
      <x:c r="Q146" s="7"/>
      <x:c r="R146" s="7"/>
      <x:c r="S146" s="7"/>
      <x:c r="T146" s="7"/>
      <x:c r="U146" s="7"/>
      <x:c r="V146" s="7"/>
      <x:c r="W146" s="7"/>
      <x:c r="X146" s="7"/>
      <x:c r="Y146" s="7"/>
      <x:c r="Z146" s="7"/>
      <x:c r="AA146" s="7"/>
      <x:c r="AB146" s="7"/>
      <x:c r="AC146" s="7"/>
      <x:c r="AD146" s="7"/>
      <x:c r="AE146" s="3"/>
      <x:c r="AF146" s="3"/>
      <x:c r="AG146" s="3"/>
      <x:c r="AH146" s="3"/>
      <x:c r="AI146" s="3"/>
      <x:c r="AJ146" s="9" t="str">
        <x:f>IF(A146="","",A146&amp;"|"&amp;B146)</x:f>
      </x:c>
      <x:c r="AK146" s="9" t="str">
        <x:f>IF(A146="",IF(B146="","","MISSING_TEST_ID"),IF(B146="","MISSING_RUN_ID",IF(COUNTIFS($A$2:$A$501,A146,$B$2:$B$501,B146)&lt;&gt;1,"DUPLICATE_ID","OK")))</x:f>
      </x:c>
      <x:c r="AL146" s="9" t="str">
        <x:f>IF(A146="","",IF(AND(AK146="OK",J146="READY",F146&lt;&gt;"",G146&lt;&gt;"",K146&lt;&gt;"",OR(L146="PASS",L146="FAIL"),M146&lt;&gt;"",P146="social-publication-v2"),"YES","NO"))</x:f>
      </x:c>
      <x:c r="AM146" s="9" t="str">
        <x:f>IF(A146="","",IF(AND(AK146="OK",J146="READY",F146&lt;&gt;"",G146&lt;&gt;"",K146&lt;&gt;"",S146="OK",OR(R146="PASS",R146="FAIL")),"YES","NO"))</x:f>
      </x:c>
      <x:c r="AN146" s="9" t="str">
        <x:f>IF(A146="","",F146&amp;" | "&amp;G146&amp;" | "&amp;H146&amp;" | "&amp;I146)</x:f>
      </x:c>
    </x:row>
    <x:row r="147" ht="33" customHeight="1">
      <x:c r="A147" s="3"/>
      <x:c r="B147" s="3"/>
      <x:c r="C147" s="3"/>
      <x:c r="D147" s="3"/>
      <x:c r="E147" s="3"/>
      <x:c r="F147" s="3"/>
      <x:c r="G147" s="3"/>
      <x:c r="H147" s="3"/>
      <x:c r="I147" s="3"/>
      <x:c r="J147" s="3"/>
      <x:c r="K147" s="3"/>
      <x:c r="L147" s="6"/>
      <x:c r="M147" s="6"/>
      <x:c r="N147" s="6"/>
      <x:c r="O147" s="6"/>
      <x:c r="P147" s="6"/>
      <x:c r="Q147" s="7"/>
      <x:c r="R147" s="7"/>
      <x:c r="S147" s="7"/>
      <x:c r="T147" s="7"/>
      <x:c r="U147" s="7"/>
      <x:c r="V147" s="7"/>
      <x:c r="W147" s="7"/>
      <x:c r="X147" s="7"/>
      <x:c r="Y147" s="7"/>
      <x:c r="Z147" s="7"/>
      <x:c r="AA147" s="7"/>
      <x:c r="AB147" s="7"/>
      <x:c r="AC147" s="7"/>
      <x:c r="AD147" s="7"/>
      <x:c r="AE147" s="3"/>
      <x:c r="AF147" s="3"/>
      <x:c r="AG147" s="3"/>
      <x:c r="AH147" s="3"/>
      <x:c r="AI147" s="3"/>
      <x:c r="AJ147" s="9" t="str">
        <x:f>IF(A147="","",A147&amp;"|"&amp;B147)</x:f>
      </x:c>
      <x:c r="AK147" s="9" t="str">
        <x:f>IF(A147="",IF(B147="","","MISSING_TEST_ID"),IF(B147="","MISSING_RUN_ID",IF(COUNTIFS($A$2:$A$501,A147,$B$2:$B$501,B147)&lt;&gt;1,"DUPLICATE_ID","OK")))</x:f>
      </x:c>
      <x:c r="AL147" s="9" t="str">
        <x:f>IF(A147="","",IF(AND(AK147="OK",J147="READY",F147&lt;&gt;"",G147&lt;&gt;"",K147&lt;&gt;"",OR(L147="PASS",L147="FAIL"),M147&lt;&gt;"",P147="social-publication-v2"),"YES","NO"))</x:f>
      </x:c>
      <x:c r="AM147" s="9" t="str">
        <x:f>IF(A147="","",IF(AND(AK147="OK",J147="READY",F147&lt;&gt;"",G147&lt;&gt;"",K147&lt;&gt;"",S147="OK",OR(R147="PASS",R147="FAIL")),"YES","NO"))</x:f>
      </x:c>
      <x:c r="AN147" s="9" t="str">
        <x:f>IF(A147="","",F147&amp;" | "&amp;G147&amp;" | "&amp;H147&amp;" | "&amp;I147)</x:f>
      </x:c>
    </x:row>
    <x:row r="148" ht="33" customHeight="1">
      <x:c r="A148" s="3"/>
      <x:c r="B148" s="3"/>
      <x:c r="C148" s="3"/>
      <x:c r="D148" s="3"/>
      <x:c r="E148" s="3"/>
      <x:c r="F148" s="3"/>
      <x:c r="G148" s="3"/>
      <x:c r="H148" s="3"/>
      <x:c r="I148" s="3"/>
      <x:c r="J148" s="3"/>
      <x:c r="K148" s="3"/>
      <x:c r="L148" s="6"/>
      <x:c r="M148" s="6"/>
      <x:c r="N148" s="6"/>
      <x:c r="O148" s="6"/>
      <x:c r="P148" s="6"/>
      <x:c r="Q148" s="7"/>
      <x:c r="R148" s="7"/>
      <x:c r="S148" s="7"/>
      <x:c r="T148" s="7"/>
      <x:c r="U148" s="7"/>
      <x:c r="V148" s="7"/>
      <x:c r="W148" s="7"/>
      <x:c r="X148" s="7"/>
      <x:c r="Y148" s="7"/>
      <x:c r="Z148" s="7"/>
      <x:c r="AA148" s="7"/>
      <x:c r="AB148" s="7"/>
      <x:c r="AC148" s="7"/>
      <x:c r="AD148" s="7"/>
      <x:c r="AE148" s="3"/>
      <x:c r="AF148" s="3"/>
      <x:c r="AG148" s="3"/>
      <x:c r="AH148" s="3"/>
      <x:c r="AI148" s="3"/>
      <x:c r="AJ148" s="9" t="str">
        <x:f>IF(A148="","",A148&amp;"|"&amp;B148)</x:f>
      </x:c>
      <x:c r="AK148" s="9" t="str">
        <x:f>IF(A148="",IF(B148="","","MISSING_TEST_ID"),IF(B148="","MISSING_RUN_ID",IF(COUNTIFS($A$2:$A$501,A148,$B$2:$B$501,B148)&lt;&gt;1,"DUPLICATE_ID","OK")))</x:f>
      </x:c>
      <x:c r="AL148" s="9" t="str">
        <x:f>IF(A148="","",IF(AND(AK148="OK",J148="READY",F148&lt;&gt;"",G148&lt;&gt;"",K148&lt;&gt;"",OR(L148="PASS",L148="FAIL"),M148&lt;&gt;"",P148="social-publication-v2"),"YES","NO"))</x:f>
      </x:c>
      <x:c r="AM148" s="9" t="str">
        <x:f>IF(A148="","",IF(AND(AK148="OK",J148="READY",F148&lt;&gt;"",G148&lt;&gt;"",K148&lt;&gt;"",S148="OK",OR(R148="PASS",R148="FAIL")),"YES","NO"))</x:f>
      </x:c>
      <x:c r="AN148" s="9" t="str">
        <x:f>IF(A148="","",F148&amp;" | "&amp;G148&amp;" | "&amp;H148&amp;" | "&amp;I148)</x:f>
      </x:c>
    </x:row>
    <x:row r="149" ht="33" customHeight="1">
      <x:c r="A149" s="3"/>
      <x:c r="B149" s="3"/>
      <x:c r="C149" s="3"/>
      <x:c r="D149" s="3"/>
      <x:c r="E149" s="3"/>
      <x:c r="F149" s="3"/>
      <x:c r="G149" s="3"/>
      <x:c r="H149" s="3"/>
      <x:c r="I149" s="3"/>
      <x:c r="J149" s="3"/>
      <x:c r="K149" s="3"/>
      <x:c r="L149" s="6"/>
      <x:c r="M149" s="6"/>
      <x:c r="N149" s="6"/>
      <x:c r="O149" s="6"/>
      <x:c r="P149" s="6"/>
      <x:c r="Q149" s="7"/>
      <x:c r="R149" s="7"/>
      <x:c r="S149" s="7"/>
      <x:c r="T149" s="7"/>
      <x:c r="U149" s="7"/>
      <x:c r="V149" s="7"/>
      <x:c r="W149" s="7"/>
      <x:c r="X149" s="7"/>
      <x:c r="Y149" s="7"/>
      <x:c r="Z149" s="7"/>
      <x:c r="AA149" s="7"/>
      <x:c r="AB149" s="7"/>
      <x:c r="AC149" s="7"/>
      <x:c r="AD149" s="7"/>
      <x:c r="AE149" s="3"/>
      <x:c r="AF149" s="3"/>
      <x:c r="AG149" s="3"/>
      <x:c r="AH149" s="3"/>
      <x:c r="AI149" s="3"/>
      <x:c r="AJ149" s="9" t="str">
        <x:f>IF(A149="","",A149&amp;"|"&amp;B149)</x:f>
      </x:c>
      <x:c r="AK149" s="9" t="str">
        <x:f>IF(A149="",IF(B149="","","MISSING_TEST_ID"),IF(B149="","MISSING_RUN_ID",IF(COUNTIFS($A$2:$A$501,A149,$B$2:$B$501,B149)&lt;&gt;1,"DUPLICATE_ID","OK")))</x:f>
      </x:c>
      <x:c r="AL149" s="9" t="str">
        <x:f>IF(A149="","",IF(AND(AK149="OK",J149="READY",F149&lt;&gt;"",G149&lt;&gt;"",K149&lt;&gt;"",OR(L149="PASS",L149="FAIL"),M149&lt;&gt;"",P149="social-publication-v2"),"YES","NO"))</x:f>
      </x:c>
      <x:c r="AM149" s="9" t="str">
        <x:f>IF(A149="","",IF(AND(AK149="OK",J149="READY",F149&lt;&gt;"",G149&lt;&gt;"",K149&lt;&gt;"",S149="OK",OR(R149="PASS",R149="FAIL")),"YES","NO"))</x:f>
      </x:c>
      <x:c r="AN149" s="9" t="str">
        <x:f>IF(A149="","",F149&amp;" | "&amp;G149&amp;" | "&amp;H149&amp;" | "&amp;I149)</x:f>
      </x:c>
    </x:row>
    <x:row r="150" ht="33" customHeight="1">
      <x:c r="A150" s="3"/>
      <x:c r="B150" s="3"/>
      <x:c r="C150" s="3"/>
      <x:c r="D150" s="3"/>
      <x:c r="E150" s="3"/>
      <x:c r="F150" s="3"/>
      <x:c r="G150" s="3"/>
      <x:c r="H150" s="3"/>
      <x:c r="I150" s="3"/>
      <x:c r="J150" s="3"/>
      <x:c r="K150" s="3"/>
      <x:c r="L150" s="6"/>
      <x:c r="M150" s="6"/>
      <x:c r="N150" s="6"/>
      <x:c r="O150" s="6"/>
      <x:c r="P150" s="6"/>
      <x:c r="Q150" s="7"/>
      <x:c r="R150" s="7"/>
      <x:c r="S150" s="7"/>
      <x:c r="T150" s="7"/>
      <x:c r="U150" s="7"/>
      <x:c r="V150" s="7"/>
      <x:c r="W150" s="7"/>
      <x:c r="X150" s="7"/>
      <x:c r="Y150" s="7"/>
      <x:c r="Z150" s="7"/>
      <x:c r="AA150" s="7"/>
      <x:c r="AB150" s="7"/>
      <x:c r="AC150" s="7"/>
      <x:c r="AD150" s="7"/>
      <x:c r="AE150" s="3"/>
      <x:c r="AF150" s="3"/>
      <x:c r="AG150" s="3"/>
      <x:c r="AH150" s="3"/>
      <x:c r="AI150" s="3"/>
      <x:c r="AJ150" s="9" t="str">
        <x:f>IF(A150="","",A150&amp;"|"&amp;B150)</x:f>
      </x:c>
      <x:c r="AK150" s="9" t="str">
        <x:f>IF(A150="",IF(B150="","","MISSING_TEST_ID"),IF(B150="","MISSING_RUN_ID",IF(COUNTIFS($A$2:$A$501,A150,$B$2:$B$501,B150)&lt;&gt;1,"DUPLICATE_ID","OK")))</x:f>
      </x:c>
      <x:c r="AL150" s="9" t="str">
        <x:f>IF(A150="","",IF(AND(AK150="OK",J150="READY",F150&lt;&gt;"",G150&lt;&gt;"",K150&lt;&gt;"",OR(L150="PASS",L150="FAIL"),M150&lt;&gt;"",P150="social-publication-v2"),"YES","NO"))</x:f>
      </x:c>
      <x:c r="AM150" s="9" t="str">
        <x:f>IF(A150="","",IF(AND(AK150="OK",J150="READY",F150&lt;&gt;"",G150&lt;&gt;"",K150&lt;&gt;"",S150="OK",OR(R150="PASS",R150="FAIL")),"YES","NO"))</x:f>
      </x:c>
      <x:c r="AN150" s="9" t="str">
        <x:f>IF(A150="","",F150&amp;" | "&amp;G150&amp;" | "&amp;H150&amp;" | "&amp;I150)</x:f>
      </x:c>
    </x:row>
    <x:row r="151" ht="33" customHeight="1">
      <x:c r="A151" s="3"/>
      <x:c r="B151" s="3"/>
      <x:c r="C151" s="3"/>
      <x:c r="D151" s="3"/>
      <x:c r="E151" s="3"/>
      <x:c r="F151" s="3"/>
      <x:c r="G151" s="3"/>
      <x:c r="H151" s="3"/>
      <x:c r="I151" s="3"/>
      <x:c r="J151" s="3"/>
      <x:c r="K151" s="3"/>
      <x:c r="L151" s="6"/>
      <x:c r="M151" s="6"/>
      <x:c r="N151" s="6"/>
      <x:c r="O151" s="6"/>
      <x:c r="P151" s="6"/>
      <x:c r="Q151" s="7"/>
      <x:c r="R151" s="7"/>
      <x:c r="S151" s="7"/>
      <x:c r="T151" s="7"/>
      <x:c r="U151" s="7"/>
      <x:c r="V151" s="7"/>
      <x:c r="W151" s="7"/>
      <x:c r="X151" s="7"/>
      <x:c r="Y151" s="7"/>
      <x:c r="Z151" s="7"/>
      <x:c r="AA151" s="7"/>
      <x:c r="AB151" s="7"/>
      <x:c r="AC151" s="7"/>
      <x:c r="AD151" s="7"/>
      <x:c r="AE151" s="3"/>
      <x:c r="AF151" s="3"/>
      <x:c r="AG151" s="3"/>
      <x:c r="AH151" s="3"/>
      <x:c r="AI151" s="3"/>
      <x:c r="AJ151" s="9" t="str">
        <x:f>IF(A151="","",A151&amp;"|"&amp;B151)</x:f>
      </x:c>
      <x:c r="AK151" s="9" t="str">
        <x:f>IF(A151="",IF(B151="","","MISSING_TEST_ID"),IF(B151="","MISSING_RUN_ID",IF(COUNTIFS($A$2:$A$501,A151,$B$2:$B$501,B151)&lt;&gt;1,"DUPLICATE_ID","OK")))</x:f>
      </x:c>
      <x:c r="AL151" s="9" t="str">
        <x:f>IF(A151="","",IF(AND(AK151="OK",J151="READY",F151&lt;&gt;"",G151&lt;&gt;"",K151&lt;&gt;"",OR(L151="PASS",L151="FAIL"),M151&lt;&gt;"",P151="social-publication-v2"),"YES","NO"))</x:f>
      </x:c>
      <x:c r="AM151" s="9" t="str">
        <x:f>IF(A151="","",IF(AND(AK151="OK",J151="READY",F151&lt;&gt;"",G151&lt;&gt;"",K151&lt;&gt;"",S151="OK",OR(R151="PASS",R151="FAIL")),"YES","NO"))</x:f>
      </x:c>
      <x:c r="AN151" s="9" t="str">
        <x:f>IF(A151="","",F151&amp;" | "&amp;G151&amp;" | "&amp;H151&amp;" | "&amp;I151)</x:f>
      </x:c>
    </x:row>
    <x:row r="152" ht="33" customHeight="1">
      <x:c r="A152" s="3"/>
      <x:c r="B152" s="3"/>
      <x:c r="C152" s="3"/>
      <x:c r="D152" s="3"/>
      <x:c r="E152" s="3"/>
      <x:c r="F152" s="3"/>
      <x:c r="G152" s="3"/>
      <x:c r="H152" s="3"/>
      <x:c r="I152" s="3"/>
      <x:c r="J152" s="3"/>
      <x:c r="K152" s="3"/>
      <x:c r="L152" s="6"/>
      <x:c r="M152" s="6"/>
      <x:c r="N152" s="6"/>
      <x:c r="O152" s="6"/>
      <x:c r="P152" s="6"/>
      <x:c r="Q152" s="7"/>
      <x:c r="R152" s="7"/>
      <x:c r="S152" s="7"/>
      <x:c r="T152" s="7"/>
      <x:c r="U152" s="7"/>
      <x:c r="V152" s="7"/>
      <x:c r="W152" s="7"/>
      <x:c r="X152" s="7"/>
      <x:c r="Y152" s="7"/>
      <x:c r="Z152" s="7"/>
      <x:c r="AA152" s="7"/>
      <x:c r="AB152" s="7"/>
      <x:c r="AC152" s="7"/>
      <x:c r="AD152" s="7"/>
      <x:c r="AE152" s="3"/>
      <x:c r="AF152" s="3"/>
      <x:c r="AG152" s="3"/>
      <x:c r="AH152" s="3"/>
      <x:c r="AI152" s="3"/>
      <x:c r="AJ152" s="9" t="str">
        <x:f>IF(A152="","",A152&amp;"|"&amp;B152)</x:f>
      </x:c>
      <x:c r="AK152" s="9" t="str">
        <x:f>IF(A152="",IF(B152="","","MISSING_TEST_ID"),IF(B152="","MISSING_RUN_ID",IF(COUNTIFS($A$2:$A$501,A152,$B$2:$B$501,B152)&lt;&gt;1,"DUPLICATE_ID","OK")))</x:f>
      </x:c>
      <x:c r="AL152" s="9" t="str">
        <x:f>IF(A152="","",IF(AND(AK152="OK",J152="READY",F152&lt;&gt;"",G152&lt;&gt;"",K152&lt;&gt;"",OR(L152="PASS",L152="FAIL"),M152&lt;&gt;"",P152="social-publication-v2"),"YES","NO"))</x:f>
      </x:c>
      <x:c r="AM152" s="9" t="str">
        <x:f>IF(A152="","",IF(AND(AK152="OK",J152="READY",F152&lt;&gt;"",G152&lt;&gt;"",K152&lt;&gt;"",S152="OK",OR(R152="PASS",R152="FAIL")),"YES","NO"))</x:f>
      </x:c>
      <x:c r="AN152" s="9" t="str">
        <x:f>IF(A152="","",F152&amp;" | "&amp;G152&amp;" | "&amp;H152&amp;" | "&amp;I152)</x:f>
      </x:c>
    </x:row>
    <x:row r="153" ht="33" customHeight="1">
      <x:c r="A153" s="3"/>
      <x:c r="B153" s="3"/>
      <x:c r="C153" s="3"/>
      <x:c r="D153" s="3"/>
      <x:c r="E153" s="3"/>
      <x:c r="F153" s="3"/>
      <x:c r="G153" s="3"/>
      <x:c r="H153" s="3"/>
      <x:c r="I153" s="3"/>
      <x:c r="J153" s="3"/>
      <x:c r="K153" s="3"/>
      <x:c r="L153" s="6"/>
      <x:c r="M153" s="6"/>
      <x:c r="N153" s="6"/>
      <x:c r="O153" s="6"/>
      <x:c r="P153" s="6"/>
      <x:c r="Q153" s="7"/>
      <x:c r="R153" s="7"/>
      <x:c r="S153" s="7"/>
      <x:c r="T153" s="7"/>
      <x:c r="U153" s="7"/>
      <x:c r="V153" s="7"/>
      <x:c r="W153" s="7"/>
      <x:c r="X153" s="7"/>
      <x:c r="Y153" s="7"/>
      <x:c r="Z153" s="7"/>
      <x:c r="AA153" s="7"/>
      <x:c r="AB153" s="7"/>
      <x:c r="AC153" s="7"/>
      <x:c r="AD153" s="7"/>
      <x:c r="AE153" s="3"/>
      <x:c r="AF153" s="3"/>
      <x:c r="AG153" s="3"/>
      <x:c r="AH153" s="3"/>
      <x:c r="AI153" s="3"/>
      <x:c r="AJ153" s="9" t="str">
        <x:f>IF(A153="","",A153&amp;"|"&amp;B153)</x:f>
      </x:c>
      <x:c r="AK153" s="9" t="str">
        <x:f>IF(A153="",IF(B153="","","MISSING_TEST_ID"),IF(B153="","MISSING_RUN_ID",IF(COUNTIFS($A$2:$A$501,A153,$B$2:$B$501,B153)&lt;&gt;1,"DUPLICATE_ID","OK")))</x:f>
      </x:c>
      <x:c r="AL153" s="9" t="str">
        <x:f>IF(A153="","",IF(AND(AK153="OK",J153="READY",F153&lt;&gt;"",G153&lt;&gt;"",K153&lt;&gt;"",OR(L153="PASS",L153="FAIL"),M153&lt;&gt;"",P153="social-publication-v2"),"YES","NO"))</x:f>
      </x:c>
      <x:c r="AM153" s="9" t="str">
        <x:f>IF(A153="","",IF(AND(AK153="OK",J153="READY",F153&lt;&gt;"",G153&lt;&gt;"",K153&lt;&gt;"",S153="OK",OR(R153="PASS",R153="FAIL")),"YES","NO"))</x:f>
      </x:c>
      <x:c r="AN153" s="9" t="str">
        <x:f>IF(A153="","",F153&amp;" | "&amp;G153&amp;" | "&amp;H153&amp;" | "&amp;I153)</x:f>
      </x:c>
    </x:row>
    <x:row r="154" ht="33" customHeight="1">
      <x:c r="A154" s="3"/>
      <x:c r="B154" s="3"/>
      <x:c r="C154" s="3"/>
      <x:c r="D154" s="3"/>
      <x:c r="E154" s="3"/>
      <x:c r="F154" s="3"/>
      <x:c r="G154" s="3"/>
      <x:c r="H154" s="3"/>
      <x:c r="I154" s="3"/>
      <x:c r="J154" s="3"/>
      <x:c r="K154" s="3"/>
      <x:c r="L154" s="6"/>
      <x:c r="M154" s="6"/>
      <x:c r="N154" s="6"/>
      <x:c r="O154" s="6"/>
      <x:c r="P154" s="6"/>
      <x:c r="Q154" s="7"/>
      <x:c r="R154" s="7"/>
      <x:c r="S154" s="7"/>
      <x:c r="T154" s="7"/>
      <x:c r="U154" s="7"/>
      <x:c r="V154" s="7"/>
      <x:c r="W154" s="7"/>
      <x:c r="X154" s="7"/>
      <x:c r="Y154" s="7"/>
      <x:c r="Z154" s="7"/>
      <x:c r="AA154" s="7"/>
      <x:c r="AB154" s="7"/>
      <x:c r="AC154" s="7"/>
      <x:c r="AD154" s="7"/>
      <x:c r="AE154" s="3"/>
      <x:c r="AF154" s="3"/>
      <x:c r="AG154" s="3"/>
      <x:c r="AH154" s="3"/>
      <x:c r="AI154" s="3"/>
      <x:c r="AJ154" s="9" t="str">
        <x:f>IF(A154="","",A154&amp;"|"&amp;B154)</x:f>
      </x:c>
      <x:c r="AK154" s="9" t="str">
        <x:f>IF(A154="",IF(B154="","","MISSING_TEST_ID"),IF(B154="","MISSING_RUN_ID",IF(COUNTIFS($A$2:$A$501,A154,$B$2:$B$501,B154)&lt;&gt;1,"DUPLICATE_ID","OK")))</x:f>
      </x:c>
      <x:c r="AL154" s="9" t="str">
        <x:f>IF(A154="","",IF(AND(AK154="OK",J154="READY",F154&lt;&gt;"",G154&lt;&gt;"",K154&lt;&gt;"",OR(L154="PASS",L154="FAIL"),M154&lt;&gt;"",P154="social-publication-v2"),"YES","NO"))</x:f>
      </x:c>
      <x:c r="AM154" s="9" t="str">
        <x:f>IF(A154="","",IF(AND(AK154="OK",J154="READY",F154&lt;&gt;"",G154&lt;&gt;"",K154&lt;&gt;"",S154="OK",OR(R154="PASS",R154="FAIL")),"YES","NO"))</x:f>
      </x:c>
      <x:c r="AN154" s="9" t="str">
        <x:f>IF(A154="","",F154&amp;" | "&amp;G154&amp;" | "&amp;H154&amp;" | "&amp;I154)</x:f>
      </x:c>
    </x:row>
    <x:row r="155" ht="33" customHeight="1">
      <x:c r="A155" s="3"/>
      <x:c r="B155" s="3"/>
      <x:c r="C155" s="3"/>
      <x:c r="D155" s="3"/>
      <x:c r="E155" s="3"/>
      <x:c r="F155" s="3"/>
      <x:c r="G155" s="3"/>
      <x:c r="H155" s="3"/>
      <x:c r="I155" s="3"/>
      <x:c r="J155" s="3"/>
      <x:c r="K155" s="3"/>
      <x:c r="L155" s="6"/>
      <x:c r="M155" s="6"/>
      <x:c r="N155" s="6"/>
      <x:c r="O155" s="6"/>
      <x:c r="P155" s="6"/>
      <x:c r="Q155" s="7"/>
      <x:c r="R155" s="7"/>
      <x:c r="S155" s="7"/>
      <x:c r="T155" s="7"/>
      <x:c r="U155" s="7"/>
      <x:c r="V155" s="7"/>
      <x:c r="W155" s="7"/>
      <x:c r="X155" s="7"/>
      <x:c r="Y155" s="7"/>
      <x:c r="Z155" s="7"/>
      <x:c r="AA155" s="7"/>
      <x:c r="AB155" s="7"/>
      <x:c r="AC155" s="7"/>
      <x:c r="AD155" s="7"/>
      <x:c r="AE155" s="3"/>
      <x:c r="AF155" s="3"/>
      <x:c r="AG155" s="3"/>
      <x:c r="AH155" s="3"/>
      <x:c r="AI155" s="3"/>
      <x:c r="AJ155" s="9" t="str">
        <x:f>IF(A155="","",A155&amp;"|"&amp;B155)</x:f>
      </x:c>
      <x:c r="AK155" s="9" t="str">
        <x:f>IF(A155="",IF(B155="","","MISSING_TEST_ID"),IF(B155="","MISSING_RUN_ID",IF(COUNTIFS($A$2:$A$501,A155,$B$2:$B$501,B155)&lt;&gt;1,"DUPLICATE_ID","OK")))</x:f>
      </x:c>
      <x:c r="AL155" s="9" t="str">
        <x:f>IF(A155="","",IF(AND(AK155="OK",J155="READY",F155&lt;&gt;"",G155&lt;&gt;"",K155&lt;&gt;"",OR(L155="PASS",L155="FAIL"),M155&lt;&gt;"",P155="social-publication-v2"),"YES","NO"))</x:f>
      </x:c>
      <x:c r="AM155" s="9" t="str">
        <x:f>IF(A155="","",IF(AND(AK155="OK",J155="READY",F155&lt;&gt;"",G155&lt;&gt;"",K155&lt;&gt;"",S155="OK",OR(R155="PASS",R155="FAIL")),"YES","NO"))</x:f>
      </x:c>
      <x:c r="AN155" s="9" t="str">
        <x:f>IF(A155="","",F155&amp;" | "&amp;G155&amp;" | "&amp;H155&amp;" | "&amp;I155)</x:f>
      </x:c>
    </x:row>
    <x:row r="156" ht="33" customHeight="1">
      <x:c r="A156" s="3"/>
      <x:c r="B156" s="3"/>
      <x:c r="C156" s="3"/>
      <x:c r="D156" s="3"/>
      <x:c r="E156" s="3"/>
      <x:c r="F156" s="3"/>
      <x:c r="G156" s="3"/>
      <x:c r="H156" s="3"/>
      <x:c r="I156" s="3"/>
      <x:c r="J156" s="3"/>
      <x:c r="K156" s="3"/>
      <x:c r="L156" s="6"/>
      <x:c r="M156" s="6"/>
      <x:c r="N156" s="6"/>
      <x:c r="O156" s="6"/>
      <x:c r="P156" s="6"/>
      <x:c r="Q156" s="7"/>
      <x:c r="R156" s="7"/>
      <x:c r="S156" s="7"/>
      <x:c r="T156" s="7"/>
      <x:c r="U156" s="7"/>
      <x:c r="V156" s="7"/>
      <x:c r="W156" s="7"/>
      <x:c r="X156" s="7"/>
      <x:c r="Y156" s="7"/>
      <x:c r="Z156" s="7"/>
      <x:c r="AA156" s="7"/>
      <x:c r="AB156" s="7"/>
      <x:c r="AC156" s="7"/>
      <x:c r="AD156" s="7"/>
      <x:c r="AE156" s="3"/>
      <x:c r="AF156" s="3"/>
      <x:c r="AG156" s="3"/>
      <x:c r="AH156" s="3"/>
      <x:c r="AI156" s="3"/>
      <x:c r="AJ156" s="9" t="str">
        <x:f>IF(A156="","",A156&amp;"|"&amp;B156)</x:f>
      </x:c>
      <x:c r="AK156" s="9" t="str">
        <x:f>IF(A156="",IF(B156="","","MISSING_TEST_ID"),IF(B156="","MISSING_RUN_ID",IF(COUNTIFS($A$2:$A$501,A156,$B$2:$B$501,B156)&lt;&gt;1,"DUPLICATE_ID","OK")))</x:f>
      </x:c>
      <x:c r="AL156" s="9" t="str">
        <x:f>IF(A156="","",IF(AND(AK156="OK",J156="READY",F156&lt;&gt;"",G156&lt;&gt;"",K156&lt;&gt;"",OR(L156="PASS",L156="FAIL"),M156&lt;&gt;"",P156="social-publication-v2"),"YES","NO"))</x:f>
      </x:c>
      <x:c r="AM156" s="9" t="str">
        <x:f>IF(A156="","",IF(AND(AK156="OK",J156="READY",F156&lt;&gt;"",G156&lt;&gt;"",K156&lt;&gt;"",S156="OK",OR(R156="PASS",R156="FAIL")),"YES","NO"))</x:f>
      </x:c>
      <x:c r="AN156" s="9" t="str">
        <x:f>IF(A156="","",F156&amp;" | "&amp;G156&amp;" | "&amp;H156&amp;" | "&amp;I156)</x:f>
      </x:c>
    </x:row>
    <x:row r="157" ht="33" customHeight="1">
      <x:c r="A157" s="3"/>
      <x:c r="B157" s="3"/>
      <x:c r="C157" s="3"/>
      <x:c r="D157" s="3"/>
      <x:c r="E157" s="3"/>
      <x:c r="F157" s="3"/>
      <x:c r="G157" s="3"/>
      <x:c r="H157" s="3"/>
      <x:c r="I157" s="3"/>
      <x:c r="J157" s="3"/>
      <x:c r="K157" s="3"/>
      <x:c r="L157" s="6"/>
      <x:c r="M157" s="6"/>
      <x:c r="N157" s="6"/>
      <x:c r="O157" s="6"/>
      <x:c r="P157" s="6"/>
      <x:c r="Q157" s="7"/>
      <x:c r="R157" s="7"/>
      <x:c r="S157" s="7"/>
      <x:c r="T157" s="7"/>
      <x:c r="U157" s="7"/>
      <x:c r="V157" s="7"/>
      <x:c r="W157" s="7"/>
      <x:c r="X157" s="7"/>
      <x:c r="Y157" s="7"/>
      <x:c r="Z157" s="7"/>
      <x:c r="AA157" s="7"/>
      <x:c r="AB157" s="7"/>
      <x:c r="AC157" s="7"/>
      <x:c r="AD157" s="7"/>
      <x:c r="AE157" s="3"/>
      <x:c r="AF157" s="3"/>
      <x:c r="AG157" s="3"/>
      <x:c r="AH157" s="3"/>
      <x:c r="AI157" s="3"/>
      <x:c r="AJ157" s="9" t="str">
        <x:f>IF(A157="","",A157&amp;"|"&amp;B157)</x:f>
      </x:c>
      <x:c r="AK157" s="9" t="str">
        <x:f>IF(A157="",IF(B157="","","MISSING_TEST_ID"),IF(B157="","MISSING_RUN_ID",IF(COUNTIFS($A$2:$A$501,A157,$B$2:$B$501,B157)&lt;&gt;1,"DUPLICATE_ID","OK")))</x:f>
      </x:c>
      <x:c r="AL157" s="9" t="str">
        <x:f>IF(A157="","",IF(AND(AK157="OK",J157="READY",F157&lt;&gt;"",G157&lt;&gt;"",K157&lt;&gt;"",OR(L157="PASS",L157="FAIL"),M157&lt;&gt;"",P157="social-publication-v2"),"YES","NO"))</x:f>
      </x:c>
      <x:c r="AM157" s="9" t="str">
        <x:f>IF(A157="","",IF(AND(AK157="OK",J157="READY",F157&lt;&gt;"",G157&lt;&gt;"",K157&lt;&gt;"",S157="OK",OR(R157="PASS",R157="FAIL")),"YES","NO"))</x:f>
      </x:c>
      <x:c r="AN157" s="9" t="str">
        <x:f>IF(A157="","",F157&amp;" | "&amp;G157&amp;" | "&amp;H157&amp;" | "&amp;I157)</x:f>
      </x:c>
    </x:row>
    <x:row r="158" ht="33" customHeight="1">
      <x:c r="A158" s="3"/>
      <x:c r="B158" s="3"/>
      <x:c r="C158" s="3"/>
      <x:c r="D158" s="3"/>
      <x:c r="E158" s="3"/>
      <x:c r="F158" s="3"/>
      <x:c r="G158" s="3"/>
      <x:c r="H158" s="3"/>
      <x:c r="I158" s="3"/>
      <x:c r="J158" s="3"/>
      <x:c r="K158" s="3"/>
      <x:c r="L158" s="6"/>
      <x:c r="M158" s="6"/>
      <x:c r="N158" s="6"/>
      <x:c r="O158" s="6"/>
      <x:c r="P158" s="6"/>
      <x:c r="Q158" s="7"/>
      <x:c r="R158" s="7"/>
      <x:c r="S158" s="7"/>
      <x:c r="T158" s="7"/>
      <x:c r="U158" s="7"/>
      <x:c r="V158" s="7"/>
      <x:c r="W158" s="7"/>
      <x:c r="X158" s="7"/>
      <x:c r="Y158" s="7"/>
      <x:c r="Z158" s="7"/>
      <x:c r="AA158" s="7"/>
      <x:c r="AB158" s="7"/>
      <x:c r="AC158" s="7"/>
      <x:c r="AD158" s="7"/>
      <x:c r="AE158" s="3"/>
      <x:c r="AF158" s="3"/>
      <x:c r="AG158" s="3"/>
      <x:c r="AH158" s="3"/>
      <x:c r="AI158" s="3"/>
      <x:c r="AJ158" s="9" t="str">
        <x:f>IF(A158="","",A158&amp;"|"&amp;B158)</x:f>
      </x:c>
      <x:c r="AK158" s="9" t="str">
        <x:f>IF(A158="",IF(B158="","","MISSING_TEST_ID"),IF(B158="","MISSING_RUN_ID",IF(COUNTIFS($A$2:$A$501,A158,$B$2:$B$501,B158)&lt;&gt;1,"DUPLICATE_ID","OK")))</x:f>
      </x:c>
      <x:c r="AL158" s="9" t="str">
        <x:f>IF(A158="","",IF(AND(AK158="OK",J158="READY",F158&lt;&gt;"",G158&lt;&gt;"",K158&lt;&gt;"",OR(L158="PASS",L158="FAIL"),M158&lt;&gt;"",P158="social-publication-v2"),"YES","NO"))</x:f>
      </x:c>
      <x:c r="AM158" s="9" t="str">
        <x:f>IF(A158="","",IF(AND(AK158="OK",J158="READY",F158&lt;&gt;"",G158&lt;&gt;"",K158&lt;&gt;"",S158="OK",OR(R158="PASS",R158="FAIL")),"YES","NO"))</x:f>
      </x:c>
      <x:c r="AN158" s="9" t="str">
        <x:f>IF(A158="","",F158&amp;" | "&amp;G158&amp;" | "&amp;H158&amp;" | "&amp;I158)</x:f>
      </x:c>
    </x:row>
    <x:row r="159" ht="33" customHeight="1">
      <x:c r="A159" s="3"/>
      <x:c r="B159" s="3"/>
      <x:c r="C159" s="3"/>
      <x:c r="D159" s="3"/>
      <x:c r="E159" s="3"/>
      <x:c r="F159" s="3"/>
      <x:c r="G159" s="3"/>
      <x:c r="H159" s="3"/>
      <x:c r="I159" s="3"/>
      <x:c r="J159" s="3"/>
      <x:c r="K159" s="3"/>
      <x:c r="L159" s="6"/>
      <x:c r="M159" s="6"/>
      <x:c r="N159" s="6"/>
      <x:c r="O159" s="6"/>
      <x:c r="P159" s="6"/>
      <x:c r="Q159" s="7"/>
      <x:c r="R159" s="7"/>
      <x:c r="S159" s="7"/>
      <x:c r="T159" s="7"/>
      <x:c r="U159" s="7"/>
      <x:c r="V159" s="7"/>
      <x:c r="W159" s="7"/>
      <x:c r="X159" s="7"/>
      <x:c r="Y159" s="7"/>
      <x:c r="Z159" s="7"/>
      <x:c r="AA159" s="7"/>
      <x:c r="AB159" s="7"/>
      <x:c r="AC159" s="7"/>
      <x:c r="AD159" s="7"/>
      <x:c r="AE159" s="3"/>
      <x:c r="AF159" s="3"/>
      <x:c r="AG159" s="3"/>
      <x:c r="AH159" s="3"/>
      <x:c r="AI159" s="3"/>
      <x:c r="AJ159" s="9" t="str">
        <x:f>IF(A159="","",A159&amp;"|"&amp;B159)</x:f>
      </x:c>
      <x:c r="AK159" s="9" t="str">
        <x:f>IF(A159="",IF(B159="","","MISSING_TEST_ID"),IF(B159="","MISSING_RUN_ID",IF(COUNTIFS($A$2:$A$501,A159,$B$2:$B$501,B159)&lt;&gt;1,"DUPLICATE_ID","OK")))</x:f>
      </x:c>
      <x:c r="AL159" s="9" t="str">
        <x:f>IF(A159="","",IF(AND(AK159="OK",J159="READY",F159&lt;&gt;"",G159&lt;&gt;"",K159&lt;&gt;"",OR(L159="PASS",L159="FAIL"),M159&lt;&gt;"",P159="social-publication-v2"),"YES","NO"))</x:f>
      </x:c>
      <x:c r="AM159" s="9" t="str">
        <x:f>IF(A159="","",IF(AND(AK159="OK",J159="READY",F159&lt;&gt;"",G159&lt;&gt;"",K159&lt;&gt;"",S159="OK",OR(R159="PASS",R159="FAIL")),"YES","NO"))</x:f>
      </x:c>
      <x:c r="AN159" s="9" t="str">
        <x:f>IF(A159="","",F159&amp;" | "&amp;G159&amp;" | "&amp;H159&amp;" | "&amp;I159)</x:f>
      </x:c>
    </x:row>
    <x:row r="160" ht="33" customHeight="1">
      <x:c r="A160" s="3"/>
      <x:c r="B160" s="3"/>
      <x:c r="C160" s="3"/>
      <x:c r="D160" s="3"/>
      <x:c r="E160" s="3"/>
      <x:c r="F160" s="3"/>
      <x:c r="G160" s="3"/>
      <x:c r="H160" s="3"/>
      <x:c r="I160" s="3"/>
      <x:c r="J160" s="3"/>
      <x:c r="K160" s="3"/>
      <x:c r="L160" s="6"/>
      <x:c r="M160" s="6"/>
      <x:c r="N160" s="6"/>
      <x:c r="O160" s="6"/>
      <x:c r="P160" s="6"/>
      <x:c r="Q160" s="7"/>
      <x:c r="R160" s="7"/>
      <x:c r="S160" s="7"/>
      <x:c r="T160" s="7"/>
      <x:c r="U160" s="7"/>
      <x:c r="V160" s="7"/>
      <x:c r="W160" s="7"/>
      <x:c r="X160" s="7"/>
      <x:c r="Y160" s="7"/>
      <x:c r="Z160" s="7"/>
      <x:c r="AA160" s="7"/>
      <x:c r="AB160" s="7"/>
      <x:c r="AC160" s="7"/>
      <x:c r="AD160" s="7"/>
      <x:c r="AE160" s="3"/>
      <x:c r="AF160" s="3"/>
      <x:c r="AG160" s="3"/>
      <x:c r="AH160" s="3"/>
      <x:c r="AI160" s="3"/>
      <x:c r="AJ160" s="9" t="str">
        <x:f>IF(A160="","",A160&amp;"|"&amp;B160)</x:f>
      </x:c>
      <x:c r="AK160" s="9" t="str">
        <x:f>IF(A160="",IF(B160="","","MISSING_TEST_ID"),IF(B160="","MISSING_RUN_ID",IF(COUNTIFS($A$2:$A$501,A160,$B$2:$B$501,B160)&lt;&gt;1,"DUPLICATE_ID","OK")))</x:f>
      </x:c>
      <x:c r="AL160" s="9" t="str">
        <x:f>IF(A160="","",IF(AND(AK160="OK",J160="READY",F160&lt;&gt;"",G160&lt;&gt;"",K160&lt;&gt;"",OR(L160="PASS",L160="FAIL"),M160&lt;&gt;"",P160="social-publication-v2"),"YES","NO"))</x:f>
      </x:c>
      <x:c r="AM160" s="9" t="str">
        <x:f>IF(A160="","",IF(AND(AK160="OK",J160="READY",F160&lt;&gt;"",G160&lt;&gt;"",K160&lt;&gt;"",S160="OK",OR(R160="PASS",R160="FAIL")),"YES","NO"))</x:f>
      </x:c>
      <x:c r="AN160" s="9" t="str">
        <x:f>IF(A160="","",F160&amp;" | "&amp;G160&amp;" | "&amp;H160&amp;" | "&amp;I160)</x:f>
      </x:c>
    </x:row>
    <x:row r="161" ht="33" customHeight="1">
      <x:c r="A161" s="3"/>
      <x:c r="B161" s="3"/>
      <x:c r="C161" s="3"/>
      <x:c r="D161" s="3"/>
      <x:c r="E161" s="3"/>
      <x:c r="F161" s="3"/>
      <x:c r="G161" s="3"/>
      <x:c r="H161" s="3"/>
      <x:c r="I161" s="3"/>
      <x:c r="J161" s="3"/>
      <x:c r="K161" s="3"/>
      <x:c r="L161" s="6"/>
      <x:c r="M161" s="6"/>
      <x:c r="N161" s="6"/>
      <x:c r="O161" s="6"/>
      <x:c r="P161" s="6"/>
      <x:c r="Q161" s="7"/>
      <x:c r="R161" s="7"/>
      <x:c r="S161" s="7"/>
      <x:c r="T161" s="7"/>
      <x:c r="U161" s="7"/>
      <x:c r="V161" s="7"/>
      <x:c r="W161" s="7"/>
      <x:c r="X161" s="7"/>
      <x:c r="Y161" s="7"/>
      <x:c r="Z161" s="7"/>
      <x:c r="AA161" s="7"/>
      <x:c r="AB161" s="7"/>
      <x:c r="AC161" s="7"/>
      <x:c r="AD161" s="7"/>
      <x:c r="AE161" s="3"/>
      <x:c r="AF161" s="3"/>
      <x:c r="AG161" s="3"/>
      <x:c r="AH161" s="3"/>
      <x:c r="AI161" s="3"/>
      <x:c r="AJ161" s="9" t="str">
        <x:f>IF(A161="","",A161&amp;"|"&amp;B161)</x:f>
      </x:c>
      <x:c r="AK161" s="9" t="str">
        <x:f>IF(A161="",IF(B161="","","MISSING_TEST_ID"),IF(B161="","MISSING_RUN_ID",IF(COUNTIFS($A$2:$A$501,A161,$B$2:$B$501,B161)&lt;&gt;1,"DUPLICATE_ID","OK")))</x:f>
      </x:c>
      <x:c r="AL161" s="9" t="str">
        <x:f>IF(A161="","",IF(AND(AK161="OK",J161="READY",F161&lt;&gt;"",G161&lt;&gt;"",K161&lt;&gt;"",OR(L161="PASS",L161="FAIL"),M161&lt;&gt;"",P161="social-publication-v2"),"YES","NO"))</x:f>
      </x:c>
      <x:c r="AM161" s="9" t="str">
        <x:f>IF(A161="","",IF(AND(AK161="OK",J161="READY",F161&lt;&gt;"",G161&lt;&gt;"",K161&lt;&gt;"",S161="OK",OR(R161="PASS",R161="FAIL")),"YES","NO"))</x:f>
      </x:c>
      <x:c r="AN161" s="9" t="str">
        <x:f>IF(A161="","",F161&amp;" | "&amp;G161&amp;" | "&amp;H161&amp;" | "&amp;I161)</x:f>
      </x:c>
    </x:row>
    <x:row r="162" ht="33" customHeight="1">
      <x:c r="A162" s="3"/>
      <x:c r="B162" s="3"/>
      <x:c r="C162" s="3"/>
      <x:c r="D162" s="3"/>
      <x:c r="E162" s="3"/>
      <x:c r="F162" s="3"/>
      <x:c r="G162" s="3"/>
      <x:c r="H162" s="3"/>
      <x:c r="I162" s="3"/>
      <x:c r="J162" s="3"/>
      <x:c r="K162" s="3"/>
      <x:c r="L162" s="6"/>
      <x:c r="M162" s="6"/>
      <x:c r="N162" s="6"/>
      <x:c r="O162" s="6"/>
      <x:c r="P162" s="6"/>
      <x:c r="Q162" s="7"/>
      <x:c r="R162" s="7"/>
      <x:c r="S162" s="7"/>
      <x:c r="T162" s="7"/>
      <x:c r="U162" s="7"/>
      <x:c r="V162" s="7"/>
      <x:c r="W162" s="7"/>
      <x:c r="X162" s="7"/>
      <x:c r="Y162" s="7"/>
      <x:c r="Z162" s="7"/>
      <x:c r="AA162" s="7"/>
      <x:c r="AB162" s="7"/>
      <x:c r="AC162" s="7"/>
      <x:c r="AD162" s="7"/>
      <x:c r="AE162" s="3"/>
      <x:c r="AF162" s="3"/>
      <x:c r="AG162" s="3"/>
      <x:c r="AH162" s="3"/>
      <x:c r="AI162" s="3"/>
      <x:c r="AJ162" s="9" t="str">
        <x:f>IF(A162="","",A162&amp;"|"&amp;B162)</x:f>
      </x:c>
      <x:c r="AK162" s="9" t="str">
        <x:f>IF(A162="",IF(B162="","","MISSING_TEST_ID"),IF(B162="","MISSING_RUN_ID",IF(COUNTIFS($A$2:$A$501,A162,$B$2:$B$501,B162)&lt;&gt;1,"DUPLICATE_ID","OK")))</x:f>
      </x:c>
      <x:c r="AL162" s="9" t="str">
        <x:f>IF(A162="","",IF(AND(AK162="OK",J162="READY",F162&lt;&gt;"",G162&lt;&gt;"",K162&lt;&gt;"",OR(L162="PASS",L162="FAIL"),M162&lt;&gt;"",P162="social-publication-v2"),"YES","NO"))</x:f>
      </x:c>
      <x:c r="AM162" s="9" t="str">
        <x:f>IF(A162="","",IF(AND(AK162="OK",J162="READY",F162&lt;&gt;"",G162&lt;&gt;"",K162&lt;&gt;"",S162="OK",OR(R162="PASS",R162="FAIL")),"YES","NO"))</x:f>
      </x:c>
      <x:c r="AN162" s="9" t="str">
        <x:f>IF(A162="","",F162&amp;" | "&amp;G162&amp;" | "&amp;H162&amp;" | "&amp;I162)</x:f>
      </x:c>
    </x:row>
    <x:row r="163" ht="33" customHeight="1">
      <x:c r="A163" s="3"/>
      <x:c r="B163" s="3"/>
      <x:c r="C163" s="3"/>
      <x:c r="D163" s="3"/>
      <x:c r="E163" s="3"/>
      <x:c r="F163" s="3"/>
      <x:c r="G163" s="3"/>
      <x:c r="H163" s="3"/>
      <x:c r="I163" s="3"/>
      <x:c r="J163" s="3"/>
      <x:c r="K163" s="3"/>
      <x:c r="L163" s="6"/>
      <x:c r="M163" s="6"/>
      <x:c r="N163" s="6"/>
      <x:c r="O163" s="6"/>
      <x:c r="P163" s="6"/>
      <x:c r="Q163" s="7"/>
      <x:c r="R163" s="7"/>
      <x:c r="S163" s="7"/>
      <x:c r="T163" s="7"/>
      <x:c r="U163" s="7"/>
      <x:c r="V163" s="7"/>
      <x:c r="W163" s="7"/>
      <x:c r="X163" s="7"/>
      <x:c r="Y163" s="7"/>
      <x:c r="Z163" s="7"/>
      <x:c r="AA163" s="7"/>
      <x:c r="AB163" s="7"/>
      <x:c r="AC163" s="7"/>
      <x:c r="AD163" s="7"/>
      <x:c r="AE163" s="3"/>
      <x:c r="AF163" s="3"/>
      <x:c r="AG163" s="3"/>
      <x:c r="AH163" s="3"/>
      <x:c r="AI163" s="3"/>
      <x:c r="AJ163" s="9" t="str">
        <x:f>IF(A163="","",A163&amp;"|"&amp;B163)</x:f>
      </x:c>
      <x:c r="AK163" s="9" t="str">
        <x:f>IF(A163="",IF(B163="","","MISSING_TEST_ID"),IF(B163="","MISSING_RUN_ID",IF(COUNTIFS($A$2:$A$501,A163,$B$2:$B$501,B163)&lt;&gt;1,"DUPLICATE_ID","OK")))</x:f>
      </x:c>
      <x:c r="AL163" s="9" t="str">
        <x:f>IF(A163="","",IF(AND(AK163="OK",J163="READY",F163&lt;&gt;"",G163&lt;&gt;"",K163&lt;&gt;"",OR(L163="PASS",L163="FAIL"),M163&lt;&gt;"",P163="social-publication-v2"),"YES","NO"))</x:f>
      </x:c>
      <x:c r="AM163" s="9" t="str">
        <x:f>IF(A163="","",IF(AND(AK163="OK",J163="READY",F163&lt;&gt;"",G163&lt;&gt;"",K163&lt;&gt;"",S163="OK",OR(R163="PASS",R163="FAIL")),"YES","NO"))</x:f>
      </x:c>
      <x:c r="AN163" s="9" t="str">
        <x:f>IF(A163="","",F163&amp;" | "&amp;G163&amp;" | "&amp;H163&amp;" | "&amp;I163)</x:f>
      </x:c>
    </x:row>
    <x:row r="164" ht="33" customHeight="1">
      <x:c r="A164" s="3"/>
      <x:c r="B164" s="3"/>
      <x:c r="C164" s="3"/>
      <x:c r="D164" s="3"/>
      <x:c r="E164" s="3"/>
      <x:c r="F164" s="3"/>
      <x:c r="G164" s="3"/>
      <x:c r="H164" s="3"/>
      <x:c r="I164" s="3"/>
      <x:c r="J164" s="3"/>
      <x:c r="K164" s="3"/>
      <x:c r="L164" s="6"/>
      <x:c r="M164" s="6"/>
      <x:c r="N164" s="6"/>
      <x:c r="O164" s="6"/>
      <x:c r="P164" s="6"/>
      <x:c r="Q164" s="7"/>
      <x:c r="R164" s="7"/>
      <x:c r="S164" s="7"/>
      <x:c r="T164" s="7"/>
      <x:c r="U164" s="7"/>
      <x:c r="V164" s="7"/>
      <x:c r="W164" s="7"/>
      <x:c r="X164" s="7"/>
      <x:c r="Y164" s="7"/>
      <x:c r="Z164" s="7"/>
      <x:c r="AA164" s="7"/>
      <x:c r="AB164" s="7"/>
      <x:c r="AC164" s="7"/>
      <x:c r="AD164" s="7"/>
      <x:c r="AE164" s="3"/>
      <x:c r="AF164" s="3"/>
      <x:c r="AG164" s="3"/>
      <x:c r="AH164" s="3"/>
      <x:c r="AI164" s="3"/>
      <x:c r="AJ164" s="9" t="str">
        <x:f>IF(A164="","",A164&amp;"|"&amp;B164)</x:f>
      </x:c>
      <x:c r="AK164" s="9" t="str">
        <x:f>IF(A164="",IF(B164="","","MISSING_TEST_ID"),IF(B164="","MISSING_RUN_ID",IF(COUNTIFS($A$2:$A$501,A164,$B$2:$B$501,B164)&lt;&gt;1,"DUPLICATE_ID","OK")))</x:f>
      </x:c>
      <x:c r="AL164" s="9" t="str">
        <x:f>IF(A164="","",IF(AND(AK164="OK",J164="READY",F164&lt;&gt;"",G164&lt;&gt;"",K164&lt;&gt;"",OR(L164="PASS",L164="FAIL"),M164&lt;&gt;"",P164="social-publication-v2"),"YES","NO"))</x:f>
      </x:c>
      <x:c r="AM164" s="9" t="str">
        <x:f>IF(A164="","",IF(AND(AK164="OK",J164="READY",F164&lt;&gt;"",G164&lt;&gt;"",K164&lt;&gt;"",S164="OK",OR(R164="PASS",R164="FAIL")),"YES","NO"))</x:f>
      </x:c>
      <x:c r="AN164" s="9" t="str">
        <x:f>IF(A164="","",F164&amp;" | "&amp;G164&amp;" | "&amp;H164&amp;" | "&amp;I164)</x:f>
      </x:c>
    </x:row>
    <x:row r="165" ht="33" customHeight="1">
      <x:c r="A165" s="3"/>
      <x:c r="B165" s="3"/>
      <x:c r="C165" s="3"/>
      <x:c r="D165" s="3"/>
      <x:c r="E165" s="3"/>
      <x:c r="F165" s="3"/>
      <x:c r="G165" s="3"/>
      <x:c r="H165" s="3"/>
      <x:c r="I165" s="3"/>
      <x:c r="J165" s="3"/>
      <x:c r="K165" s="3"/>
      <x:c r="L165" s="6"/>
      <x:c r="M165" s="6"/>
      <x:c r="N165" s="6"/>
      <x:c r="O165" s="6"/>
      <x:c r="P165" s="6"/>
      <x:c r="Q165" s="7"/>
      <x:c r="R165" s="7"/>
      <x:c r="S165" s="7"/>
      <x:c r="T165" s="7"/>
      <x:c r="U165" s="7"/>
      <x:c r="V165" s="7"/>
      <x:c r="W165" s="7"/>
      <x:c r="X165" s="7"/>
      <x:c r="Y165" s="7"/>
      <x:c r="Z165" s="7"/>
      <x:c r="AA165" s="7"/>
      <x:c r="AB165" s="7"/>
      <x:c r="AC165" s="7"/>
      <x:c r="AD165" s="7"/>
      <x:c r="AE165" s="3"/>
      <x:c r="AF165" s="3"/>
      <x:c r="AG165" s="3"/>
      <x:c r="AH165" s="3"/>
      <x:c r="AI165" s="3"/>
      <x:c r="AJ165" s="9" t="str">
        <x:f>IF(A165="","",A165&amp;"|"&amp;B165)</x:f>
      </x:c>
      <x:c r="AK165" s="9" t="str">
        <x:f>IF(A165="",IF(B165="","","MISSING_TEST_ID"),IF(B165="","MISSING_RUN_ID",IF(COUNTIFS($A$2:$A$501,A165,$B$2:$B$501,B165)&lt;&gt;1,"DUPLICATE_ID","OK")))</x:f>
      </x:c>
      <x:c r="AL165" s="9" t="str">
        <x:f>IF(A165="","",IF(AND(AK165="OK",J165="READY",F165&lt;&gt;"",G165&lt;&gt;"",K165&lt;&gt;"",OR(L165="PASS",L165="FAIL"),M165&lt;&gt;"",P165="social-publication-v2"),"YES","NO"))</x:f>
      </x:c>
      <x:c r="AM165" s="9" t="str">
        <x:f>IF(A165="","",IF(AND(AK165="OK",J165="READY",F165&lt;&gt;"",G165&lt;&gt;"",K165&lt;&gt;"",S165="OK",OR(R165="PASS",R165="FAIL")),"YES","NO"))</x:f>
      </x:c>
      <x:c r="AN165" s="9" t="str">
        <x:f>IF(A165="","",F165&amp;" | "&amp;G165&amp;" | "&amp;H165&amp;" | "&amp;I165)</x:f>
      </x:c>
    </x:row>
    <x:row r="166" ht="33" customHeight="1">
      <x:c r="A166" s="3"/>
      <x:c r="B166" s="3"/>
      <x:c r="C166" s="3"/>
      <x:c r="D166" s="3"/>
      <x:c r="E166" s="3"/>
      <x:c r="F166" s="3"/>
      <x:c r="G166" s="3"/>
      <x:c r="H166" s="3"/>
      <x:c r="I166" s="3"/>
      <x:c r="J166" s="3"/>
      <x:c r="K166" s="3"/>
      <x:c r="L166" s="6"/>
      <x:c r="M166" s="6"/>
      <x:c r="N166" s="6"/>
      <x:c r="O166" s="6"/>
      <x:c r="P166" s="6"/>
      <x:c r="Q166" s="7"/>
      <x:c r="R166" s="7"/>
      <x:c r="S166" s="7"/>
      <x:c r="T166" s="7"/>
      <x:c r="U166" s="7"/>
      <x:c r="V166" s="7"/>
      <x:c r="W166" s="7"/>
      <x:c r="X166" s="7"/>
      <x:c r="Y166" s="7"/>
      <x:c r="Z166" s="7"/>
      <x:c r="AA166" s="7"/>
      <x:c r="AB166" s="7"/>
      <x:c r="AC166" s="7"/>
      <x:c r="AD166" s="7"/>
      <x:c r="AE166" s="3"/>
      <x:c r="AF166" s="3"/>
      <x:c r="AG166" s="3"/>
      <x:c r="AH166" s="3"/>
      <x:c r="AI166" s="3"/>
      <x:c r="AJ166" s="9" t="str">
        <x:f>IF(A166="","",A166&amp;"|"&amp;B166)</x:f>
      </x:c>
      <x:c r="AK166" s="9" t="str">
        <x:f>IF(A166="",IF(B166="","","MISSING_TEST_ID"),IF(B166="","MISSING_RUN_ID",IF(COUNTIFS($A$2:$A$501,A166,$B$2:$B$501,B166)&lt;&gt;1,"DUPLICATE_ID","OK")))</x:f>
      </x:c>
      <x:c r="AL166" s="9" t="str">
        <x:f>IF(A166="","",IF(AND(AK166="OK",J166="READY",F166&lt;&gt;"",G166&lt;&gt;"",K166&lt;&gt;"",OR(L166="PASS",L166="FAIL"),M166&lt;&gt;"",P166="social-publication-v2"),"YES","NO"))</x:f>
      </x:c>
      <x:c r="AM166" s="9" t="str">
        <x:f>IF(A166="","",IF(AND(AK166="OK",J166="READY",F166&lt;&gt;"",G166&lt;&gt;"",K166&lt;&gt;"",S166="OK",OR(R166="PASS",R166="FAIL")),"YES","NO"))</x:f>
      </x:c>
      <x:c r="AN166" s="9" t="str">
        <x:f>IF(A166="","",F166&amp;" | "&amp;G166&amp;" | "&amp;H166&amp;" | "&amp;I166)</x:f>
      </x:c>
    </x:row>
    <x:row r="167" ht="33" customHeight="1">
      <x:c r="A167" s="3"/>
      <x:c r="B167" s="3"/>
      <x:c r="C167" s="3"/>
      <x:c r="D167" s="3"/>
      <x:c r="E167" s="3"/>
      <x:c r="F167" s="3"/>
      <x:c r="G167" s="3"/>
      <x:c r="H167" s="3"/>
      <x:c r="I167" s="3"/>
      <x:c r="J167" s="3"/>
      <x:c r="K167" s="3"/>
      <x:c r="L167" s="6"/>
      <x:c r="M167" s="6"/>
      <x:c r="N167" s="6"/>
      <x:c r="O167" s="6"/>
      <x:c r="P167" s="6"/>
      <x:c r="Q167" s="7"/>
      <x:c r="R167" s="7"/>
      <x:c r="S167" s="7"/>
      <x:c r="T167" s="7"/>
      <x:c r="U167" s="7"/>
      <x:c r="V167" s="7"/>
      <x:c r="W167" s="7"/>
      <x:c r="X167" s="7"/>
      <x:c r="Y167" s="7"/>
      <x:c r="Z167" s="7"/>
      <x:c r="AA167" s="7"/>
      <x:c r="AB167" s="7"/>
      <x:c r="AC167" s="7"/>
      <x:c r="AD167" s="7"/>
      <x:c r="AE167" s="3"/>
      <x:c r="AF167" s="3"/>
      <x:c r="AG167" s="3"/>
      <x:c r="AH167" s="3"/>
      <x:c r="AI167" s="3"/>
      <x:c r="AJ167" s="9" t="str">
        <x:f>IF(A167="","",A167&amp;"|"&amp;B167)</x:f>
      </x:c>
      <x:c r="AK167" s="9" t="str">
        <x:f>IF(A167="",IF(B167="","","MISSING_TEST_ID"),IF(B167="","MISSING_RUN_ID",IF(COUNTIFS($A$2:$A$501,A167,$B$2:$B$501,B167)&lt;&gt;1,"DUPLICATE_ID","OK")))</x:f>
      </x:c>
      <x:c r="AL167" s="9" t="str">
        <x:f>IF(A167="","",IF(AND(AK167="OK",J167="READY",F167&lt;&gt;"",G167&lt;&gt;"",K167&lt;&gt;"",OR(L167="PASS",L167="FAIL"),M167&lt;&gt;"",P167="social-publication-v2"),"YES","NO"))</x:f>
      </x:c>
      <x:c r="AM167" s="9" t="str">
        <x:f>IF(A167="","",IF(AND(AK167="OK",J167="READY",F167&lt;&gt;"",G167&lt;&gt;"",K167&lt;&gt;"",S167="OK",OR(R167="PASS",R167="FAIL")),"YES","NO"))</x:f>
      </x:c>
      <x:c r="AN167" s="9" t="str">
        <x:f>IF(A167="","",F167&amp;" | "&amp;G167&amp;" | "&amp;H167&amp;" | "&amp;I167)</x:f>
      </x:c>
    </x:row>
    <x:row r="168" ht="33" customHeight="1">
      <x:c r="A168" s="3"/>
      <x:c r="B168" s="3"/>
      <x:c r="C168" s="3"/>
      <x:c r="D168" s="3"/>
      <x:c r="E168" s="3"/>
      <x:c r="F168" s="3"/>
      <x:c r="G168" s="3"/>
      <x:c r="H168" s="3"/>
      <x:c r="I168" s="3"/>
      <x:c r="J168" s="3"/>
      <x:c r="K168" s="3"/>
      <x:c r="L168" s="6"/>
      <x:c r="M168" s="6"/>
      <x:c r="N168" s="6"/>
      <x:c r="O168" s="6"/>
      <x:c r="P168" s="6"/>
      <x:c r="Q168" s="7"/>
      <x:c r="R168" s="7"/>
      <x:c r="S168" s="7"/>
      <x:c r="T168" s="7"/>
      <x:c r="U168" s="7"/>
      <x:c r="V168" s="7"/>
      <x:c r="W168" s="7"/>
      <x:c r="X168" s="7"/>
      <x:c r="Y168" s="7"/>
      <x:c r="Z168" s="7"/>
      <x:c r="AA168" s="7"/>
      <x:c r="AB168" s="7"/>
      <x:c r="AC168" s="7"/>
      <x:c r="AD168" s="7"/>
      <x:c r="AE168" s="3"/>
      <x:c r="AF168" s="3"/>
      <x:c r="AG168" s="3"/>
      <x:c r="AH168" s="3"/>
      <x:c r="AI168" s="3"/>
      <x:c r="AJ168" s="9" t="str">
        <x:f>IF(A168="","",A168&amp;"|"&amp;B168)</x:f>
      </x:c>
      <x:c r="AK168" s="9" t="str">
        <x:f>IF(A168="",IF(B168="","","MISSING_TEST_ID"),IF(B168="","MISSING_RUN_ID",IF(COUNTIFS($A$2:$A$501,A168,$B$2:$B$501,B168)&lt;&gt;1,"DUPLICATE_ID","OK")))</x:f>
      </x:c>
      <x:c r="AL168" s="9" t="str">
        <x:f>IF(A168="","",IF(AND(AK168="OK",J168="READY",F168&lt;&gt;"",G168&lt;&gt;"",K168&lt;&gt;"",OR(L168="PASS",L168="FAIL"),M168&lt;&gt;"",P168="social-publication-v2"),"YES","NO"))</x:f>
      </x:c>
      <x:c r="AM168" s="9" t="str">
        <x:f>IF(A168="","",IF(AND(AK168="OK",J168="READY",F168&lt;&gt;"",G168&lt;&gt;"",K168&lt;&gt;"",S168="OK",OR(R168="PASS",R168="FAIL")),"YES","NO"))</x:f>
      </x:c>
      <x:c r="AN168" s="9" t="str">
        <x:f>IF(A168="","",F168&amp;" | "&amp;G168&amp;" | "&amp;H168&amp;" | "&amp;I168)</x:f>
      </x:c>
    </x:row>
    <x:row r="169" ht="33" customHeight="1">
      <x:c r="A169" s="3"/>
      <x:c r="B169" s="3"/>
      <x:c r="C169" s="3"/>
      <x:c r="D169" s="3"/>
      <x:c r="E169" s="3"/>
      <x:c r="F169" s="3"/>
      <x:c r="G169" s="3"/>
      <x:c r="H169" s="3"/>
      <x:c r="I169" s="3"/>
      <x:c r="J169" s="3"/>
      <x:c r="K169" s="3"/>
      <x:c r="L169" s="6"/>
      <x:c r="M169" s="6"/>
      <x:c r="N169" s="6"/>
      <x:c r="O169" s="6"/>
      <x:c r="P169" s="6"/>
      <x:c r="Q169" s="7"/>
      <x:c r="R169" s="7"/>
      <x:c r="S169" s="7"/>
      <x:c r="T169" s="7"/>
      <x:c r="U169" s="7"/>
      <x:c r="V169" s="7"/>
      <x:c r="W169" s="7"/>
      <x:c r="X169" s="7"/>
      <x:c r="Y169" s="7"/>
      <x:c r="Z169" s="7"/>
      <x:c r="AA169" s="7"/>
      <x:c r="AB169" s="7"/>
      <x:c r="AC169" s="7"/>
      <x:c r="AD169" s="7"/>
      <x:c r="AE169" s="3"/>
      <x:c r="AF169" s="3"/>
      <x:c r="AG169" s="3"/>
      <x:c r="AH169" s="3"/>
      <x:c r="AI169" s="3"/>
      <x:c r="AJ169" s="9" t="str">
        <x:f>IF(A169="","",A169&amp;"|"&amp;B169)</x:f>
      </x:c>
      <x:c r="AK169" s="9" t="str">
        <x:f>IF(A169="",IF(B169="","","MISSING_TEST_ID"),IF(B169="","MISSING_RUN_ID",IF(COUNTIFS($A$2:$A$501,A169,$B$2:$B$501,B169)&lt;&gt;1,"DUPLICATE_ID","OK")))</x:f>
      </x:c>
      <x:c r="AL169" s="9" t="str">
        <x:f>IF(A169="","",IF(AND(AK169="OK",J169="READY",F169&lt;&gt;"",G169&lt;&gt;"",K169&lt;&gt;"",OR(L169="PASS",L169="FAIL"),M169&lt;&gt;"",P169="social-publication-v2"),"YES","NO"))</x:f>
      </x:c>
      <x:c r="AM169" s="9" t="str">
        <x:f>IF(A169="","",IF(AND(AK169="OK",J169="READY",F169&lt;&gt;"",G169&lt;&gt;"",K169&lt;&gt;"",S169="OK",OR(R169="PASS",R169="FAIL")),"YES","NO"))</x:f>
      </x:c>
      <x:c r="AN169" s="9" t="str">
        <x:f>IF(A169="","",F169&amp;" | "&amp;G169&amp;" | "&amp;H169&amp;" | "&amp;I169)</x:f>
      </x:c>
    </x:row>
    <x:row r="170" ht="33" customHeight="1">
      <x:c r="A170" s="3"/>
      <x:c r="B170" s="3"/>
      <x:c r="C170" s="3"/>
      <x:c r="D170" s="3"/>
      <x:c r="E170" s="3"/>
      <x:c r="F170" s="3"/>
      <x:c r="G170" s="3"/>
      <x:c r="H170" s="3"/>
      <x:c r="I170" s="3"/>
      <x:c r="J170" s="3"/>
      <x:c r="K170" s="3"/>
      <x:c r="L170" s="6"/>
      <x:c r="M170" s="6"/>
      <x:c r="N170" s="6"/>
      <x:c r="O170" s="6"/>
      <x:c r="P170" s="6"/>
      <x:c r="Q170" s="7"/>
      <x:c r="R170" s="7"/>
      <x:c r="S170" s="7"/>
      <x:c r="T170" s="7"/>
      <x:c r="U170" s="7"/>
      <x:c r="V170" s="7"/>
      <x:c r="W170" s="7"/>
      <x:c r="X170" s="7"/>
      <x:c r="Y170" s="7"/>
      <x:c r="Z170" s="7"/>
      <x:c r="AA170" s="7"/>
      <x:c r="AB170" s="7"/>
      <x:c r="AC170" s="7"/>
      <x:c r="AD170" s="7"/>
      <x:c r="AE170" s="3"/>
      <x:c r="AF170" s="3"/>
      <x:c r="AG170" s="3"/>
      <x:c r="AH170" s="3"/>
      <x:c r="AI170" s="3"/>
      <x:c r="AJ170" s="9" t="str">
        <x:f>IF(A170="","",A170&amp;"|"&amp;B170)</x:f>
      </x:c>
      <x:c r="AK170" s="9" t="str">
        <x:f>IF(A170="",IF(B170="","","MISSING_TEST_ID"),IF(B170="","MISSING_RUN_ID",IF(COUNTIFS($A$2:$A$501,A170,$B$2:$B$501,B170)&lt;&gt;1,"DUPLICATE_ID","OK")))</x:f>
      </x:c>
      <x:c r="AL170" s="9" t="str">
        <x:f>IF(A170="","",IF(AND(AK170="OK",J170="READY",F170&lt;&gt;"",G170&lt;&gt;"",K170&lt;&gt;"",OR(L170="PASS",L170="FAIL"),M170&lt;&gt;"",P170="social-publication-v2"),"YES","NO"))</x:f>
      </x:c>
      <x:c r="AM170" s="9" t="str">
        <x:f>IF(A170="","",IF(AND(AK170="OK",J170="READY",F170&lt;&gt;"",G170&lt;&gt;"",K170&lt;&gt;"",S170="OK",OR(R170="PASS",R170="FAIL")),"YES","NO"))</x:f>
      </x:c>
      <x:c r="AN170" s="9" t="str">
        <x:f>IF(A170="","",F170&amp;" | "&amp;G170&amp;" | "&amp;H170&amp;" | "&amp;I170)</x:f>
      </x:c>
    </x:row>
    <x:row r="171" ht="33" customHeight="1">
      <x:c r="A171" s="3"/>
      <x:c r="B171" s="3"/>
      <x:c r="C171" s="3"/>
      <x:c r="D171" s="3"/>
      <x:c r="E171" s="3"/>
      <x:c r="F171" s="3"/>
      <x:c r="G171" s="3"/>
      <x:c r="H171" s="3"/>
      <x:c r="I171" s="3"/>
      <x:c r="J171" s="3"/>
      <x:c r="K171" s="3"/>
      <x:c r="L171" s="6"/>
      <x:c r="M171" s="6"/>
      <x:c r="N171" s="6"/>
      <x:c r="O171" s="6"/>
      <x:c r="P171" s="6"/>
      <x:c r="Q171" s="7"/>
      <x:c r="R171" s="7"/>
      <x:c r="S171" s="7"/>
      <x:c r="T171" s="7"/>
      <x:c r="U171" s="7"/>
      <x:c r="V171" s="7"/>
      <x:c r="W171" s="7"/>
      <x:c r="X171" s="7"/>
      <x:c r="Y171" s="7"/>
      <x:c r="Z171" s="7"/>
      <x:c r="AA171" s="7"/>
      <x:c r="AB171" s="7"/>
      <x:c r="AC171" s="7"/>
      <x:c r="AD171" s="7"/>
      <x:c r="AE171" s="3"/>
      <x:c r="AF171" s="3"/>
      <x:c r="AG171" s="3"/>
      <x:c r="AH171" s="3"/>
      <x:c r="AI171" s="3"/>
      <x:c r="AJ171" s="9" t="str">
        <x:f>IF(A171="","",A171&amp;"|"&amp;B171)</x:f>
      </x:c>
      <x:c r="AK171" s="9" t="str">
        <x:f>IF(A171="",IF(B171="","","MISSING_TEST_ID"),IF(B171="","MISSING_RUN_ID",IF(COUNTIFS($A$2:$A$501,A171,$B$2:$B$501,B171)&lt;&gt;1,"DUPLICATE_ID","OK")))</x:f>
      </x:c>
      <x:c r="AL171" s="9" t="str">
        <x:f>IF(A171="","",IF(AND(AK171="OK",J171="READY",F171&lt;&gt;"",G171&lt;&gt;"",K171&lt;&gt;"",OR(L171="PASS",L171="FAIL"),M171&lt;&gt;"",P171="social-publication-v2"),"YES","NO"))</x:f>
      </x:c>
      <x:c r="AM171" s="9" t="str">
        <x:f>IF(A171="","",IF(AND(AK171="OK",J171="READY",F171&lt;&gt;"",G171&lt;&gt;"",K171&lt;&gt;"",S171="OK",OR(R171="PASS",R171="FAIL")),"YES","NO"))</x:f>
      </x:c>
      <x:c r="AN171" s="9" t="str">
        <x:f>IF(A171="","",F171&amp;" | "&amp;G171&amp;" | "&amp;H171&amp;" | "&amp;I171)</x:f>
      </x:c>
    </x:row>
    <x:row r="172" ht="33" customHeight="1">
      <x:c r="A172" s="3"/>
      <x:c r="B172" s="3"/>
      <x:c r="C172" s="3"/>
      <x:c r="D172" s="3"/>
      <x:c r="E172" s="3"/>
      <x:c r="F172" s="3"/>
      <x:c r="G172" s="3"/>
      <x:c r="H172" s="3"/>
      <x:c r="I172" s="3"/>
      <x:c r="J172" s="3"/>
      <x:c r="K172" s="3"/>
      <x:c r="L172" s="6"/>
      <x:c r="M172" s="6"/>
      <x:c r="N172" s="6"/>
      <x:c r="O172" s="6"/>
      <x:c r="P172" s="6"/>
      <x:c r="Q172" s="7"/>
      <x:c r="R172" s="7"/>
      <x:c r="S172" s="7"/>
      <x:c r="T172" s="7"/>
      <x:c r="U172" s="7"/>
      <x:c r="V172" s="7"/>
      <x:c r="W172" s="7"/>
      <x:c r="X172" s="7"/>
      <x:c r="Y172" s="7"/>
      <x:c r="Z172" s="7"/>
      <x:c r="AA172" s="7"/>
      <x:c r="AB172" s="7"/>
      <x:c r="AC172" s="7"/>
      <x:c r="AD172" s="7"/>
      <x:c r="AE172" s="3"/>
      <x:c r="AF172" s="3"/>
      <x:c r="AG172" s="3"/>
      <x:c r="AH172" s="3"/>
      <x:c r="AI172" s="3"/>
      <x:c r="AJ172" s="9" t="str">
        <x:f>IF(A172="","",A172&amp;"|"&amp;B172)</x:f>
      </x:c>
      <x:c r="AK172" s="9" t="str">
        <x:f>IF(A172="",IF(B172="","","MISSING_TEST_ID"),IF(B172="","MISSING_RUN_ID",IF(COUNTIFS($A$2:$A$501,A172,$B$2:$B$501,B172)&lt;&gt;1,"DUPLICATE_ID","OK")))</x:f>
      </x:c>
      <x:c r="AL172" s="9" t="str">
        <x:f>IF(A172="","",IF(AND(AK172="OK",J172="READY",F172&lt;&gt;"",G172&lt;&gt;"",K172&lt;&gt;"",OR(L172="PASS",L172="FAIL"),M172&lt;&gt;"",P172="social-publication-v2"),"YES","NO"))</x:f>
      </x:c>
      <x:c r="AM172" s="9" t="str">
        <x:f>IF(A172="","",IF(AND(AK172="OK",J172="READY",F172&lt;&gt;"",G172&lt;&gt;"",K172&lt;&gt;"",S172="OK",OR(R172="PASS",R172="FAIL")),"YES","NO"))</x:f>
      </x:c>
      <x:c r="AN172" s="9" t="str">
        <x:f>IF(A172="","",F172&amp;" | "&amp;G172&amp;" | "&amp;H172&amp;" | "&amp;I172)</x:f>
      </x:c>
    </x:row>
    <x:row r="173" ht="33" customHeight="1">
      <x:c r="A173" s="3"/>
      <x:c r="B173" s="3"/>
      <x:c r="C173" s="3"/>
      <x:c r="D173" s="3"/>
      <x:c r="E173" s="3"/>
      <x:c r="F173" s="3"/>
      <x:c r="G173" s="3"/>
      <x:c r="H173" s="3"/>
      <x:c r="I173" s="3"/>
      <x:c r="J173" s="3"/>
      <x:c r="K173" s="3"/>
      <x:c r="L173" s="6"/>
      <x:c r="M173" s="6"/>
      <x:c r="N173" s="6"/>
      <x:c r="O173" s="6"/>
      <x:c r="P173" s="6"/>
      <x:c r="Q173" s="7"/>
      <x:c r="R173" s="7"/>
      <x:c r="S173" s="7"/>
      <x:c r="T173" s="7"/>
      <x:c r="U173" s="7"/>
      <x:c r="V173" s="7"/>
      <x:c r="W173" s="7"/>
      <x:c r="X173" s="7"/>
      <x:c r="Y173" s="7"/>
      <x:c r="Z173" s="7"/>
      <x:c r="AA173" s="7"/>
      <x:c r="AB173" s="7"/>
      <x:c r="AC173" s="7"/>
      <x:c r="AD173" s="7"/>
      <x:c r="AE173" s="3"/>
      <x:c r="AF173" s="3"/>
      <x:c r="AG173" s="3"/>
      <x:c r="AH173" s="3"/>
      <x:c r="AI173" s="3"/>
      <x:c r="AJ173" s="9" t="str">
        <x:f>IF(A173="","",A173&amp;"|"&amp;B173)</x:f>
      </x:c>
      <x:c r="AK173" s="9" t="str">
        <x:f>IF(A173="",IF(B173="","","MISSING_TEST_ID"),IF(B173="","MISSING_RUN_ID",IF(COUNTIFS($A$2:$A$501,A173,$B$2:$B$501,B173)&lt;&gt;1,"DUPLICATE_ID","OK")))</x:f>
      </x:c>
      <x:c r="AL173" s="9" t="str">
        <x:f>IF(A173="","",IF(AND(AK173="OK",J173="READY",F173&lt;&gt;"",G173&lt;&gt;"",K173&lt;&gt;"",OR(L173="PASS",L173="FAIL"),M173&lt;&gt;"",P173="social-publication-v2"),"YES","NO"))</x:f>
      </x:c>
      <x:c r="AM173" s="9" t="str">
        <x:f>IF(A173="","",IF(AND(AK173="OK",J173="READY",F173&lt;&gt;"",G173&lt;&gt;"",K173&lt;&gt;"",S173="OK",OR(R173="PASS",R173="FAIL")),"YES","NO"))</x:f>
      </x:c>
      <x:c r="AN173" s="9" t="str">
        <x:f>IF(A173="","",F173&amp;" | "&amp;G173&amp;" | "&amp;H173&amp;" | "&amp;I173)</x:f>
      </x:c>
    </x:row>
    <x:row r="174" ht="33" customHeight="1">
      <x:c r="A174" s="3"/>
      <x:c r="B174" s="3"/>
      <x:c r="C174" s="3"/>
      <x:c r="D174" s="3"/>
      <x:c r="E174" s="3"/>
      <x:c r="F174" s="3"/>
      <x:c r="G174" s="3"/>
      <x:c r="H174" s="3"/>
      <x:c r="I174" s="3"/>
      <x:c r="J174" s="3"/>
      <x:c r="K174" s="3"/>
      <x:c r="L174" s="6"/>
      <x:c r="M174" s="6"/>
      <x:c r="N174" s="6"/>
      <x:c r="O174" s="6"/>
      <x:c r="P174" s="6"/>
      <x:c r="Q174" s="7"/>
      <x:c r="R174" s="7"/>
      <x:c r="S174" s="7"/>
      <x:c r="T174" s="7"/>
      <x:c r="U174" s="7"/>
      <x:c r="V174" s="7"/>
      <x:c r="W174" s="7"/>
      <x:c r="X174" s="7"/>
      <x:c r="Y174" s="7"/>
      <x:c r="Z174" s="7"/>
      <x:c r="AA174" s="7"/>
      <x:c r="AB174" s="7"/>
      <x:c r="AC174" s="7"/>
      <x:c r="AD174" s="7"/>
      <x:c r="AE174" s="3"/>
      <x:c r="AF174" s="3"/>
      <x:c r="AG174" s="3"/>
      <x:c r="AH174" s="3"/>
      <x:c r="AI174" s="3"/>
      <x:c r="AJ174" s="9" t="str">
        <x:f>IF(A174="","",A174&amp;"|"&amp;B174)</x:f>
      </x:c>
      <x:c r="AK174" s="9" t="str">
        <x:f>IF(A174="",IF(B174="","","MISSING_TEST_ID"),IF(B174="","MISSING_RUN_ID",IF(COUNTIFS($A$2:$A$501,A174,$B$2:$B$501,B174)&lt;&gt;1,"DUPLICATE_ID","OK")))</x:f>
      </x:c>
      <x:c r="AL174" s="9" t="str">
        <x:f>IF(A174="","",IF(AND(AK174="OK",J174="READY",F174&lt;&gt;"",G174&lt;&gt;"",K174&lt;&gt;"",OR(L174="PASS",L174="FAIL"),M174&lt;&gt;"",P174="social-publication-v2"),"YES","NO"))</x:f>
      </x:c>
      <x:c r="AM174" s="9" t="str">
        <x:f>IF(A174="","",IF(AND(AK174="OK",J174="READY",F174&lt;&gt;"",G174&lt;&gt;"",K174&lt;&gt;"",S174="OK",OR(R174="PASS",R174="FAIL")),"YES","NO"))</x:f>
      </x:c>
      <x:c r="AN174" s="9" t="str">
        <x:f>IF(A174="","",F174&amp;" | "&amp;G174&amp;" | "&amp;H174&amp;" | "&amp;I174)</x:f>
      </x:c>
    </x:row>
    <x:row r="175" ht="33" customHeight="1">
      <x:c r="A175" s="3"/>
      <x:c r="B175" s="3"/>
      <x:c r="C175" s="3"/>
      <x:c r="D175" s="3"/>
      <x:c r="E175" s="3"/>
      <x:c r="F175" s="3"/>
      <x:c r="G175" s="3"/>
      <x:c r="H175" s="3"/>
      <x:c r="I175" s="3"/>
      <x:c r="J175" s="3"/>
      <x:c r="K175" s="3"/>
      <x:c r="L175" s="6"/>
      <x:c r="M175" s="6"/>
      <x:c r="N175" s="6"/>
      <x:c r="O175" s="6"/>
      <x:c r="P175" s="6"/>
      <x:c r="Q175" s="7"/>
      <x:c r="R175" s="7"/>
      <x:c r="S175" s="7"/>
      <x:c r="T175" s="7"/>
      <x:c r="U175" s="7"/>
      <x:c r="V175" s="7"/>
      <x:c r="W175" s="7"/>
      <x:c r="X175" s="7"/>
      <x:c r="Y175" s="7"/>
      <x:c r="Z175" s="7"/>
      <x:c r="AA175" s="7"/>
      <x:c r="AB175" s="7"/>
      <x:c r="AC175" s="7"/>
      <x:c r="AD175" s="7"/>
      <x:c r="AE175" s="3"/>
      <x:c r="AF175" s="3"/>
      <x:c r="AG175" s="3"/>
      <x:c r="AH175" s="3"/>
      <x:c r="AI175" s="3"/>
      <x:c r="AJ175" s="9" t="str">
        <x:f>IF(A175="","",A175&amp;"|"&amp;B175)</x:f>
      </x:c>
      <x:c r="AK175" s="9" t="str">
        <x:f>IF(A175="",IF(B175="","","MISSING_TEST_ID"),IF(B175="","MISSING_RUN_ID",IF(COUNTIFS($A$2:$A$501,A175,$B$2:$B$501,B175)&lt;&gt;1,"DUPLICATE_ID","OK")))</x:f>
      </x:c>
      <x:c r="AL175" s="9" t="str">
        <x:f>IF(A175="","",IF(AND(AK175="OK",J175="READY",F175&lt;&gt;"",G175&lt;&gt;"",K175&lt;&gt;"",OR(L175="PASS",L175="FAIL"),M175&lt;&gt;"",P175="social-publication-v2"),"YES","NO"))</x:f>
      </x:c>
      <x:c r="AM175" s="9" t="str">
        <x:f>IF(A175="","",IF(AND(AK175="OK",J175="READY",F175&lt;&gt;"",G175&lt;&gt;"",K175&lt;&gt;"",S175="OK",OR(R175="PASS",R175="FAIL")),"YES","NO"))</x:f>
      </x:c>
      <x:c r="AN175" s="9" t="str">
        <x:f>IF(A175="","",F175&amp;" | "&amp;G175&amp;" | "&amp;H175&amp;" | "&amp;I175)</x:f>
      </x:c>
    </x:row>
    <x:row r="176" ht="33" customHeight="1">
      <x:c r="A176" s="3"/>
      <x:c r="B176" s="3"/>
      <x:c r="C176" s="3"/>
      <x:c r="D176" s="3"/>
      <x:c r="E176" s="3"/>
      <x:c r="F176" s="3"/>
      <x:c r="G176" s="3"/>
      <x:c r="H176" s="3"/>
      <x:c r="I176" s="3"/>
      <x:c r="J176" s="3"/>
      <x:c r="K176" s="3"/>
      <x:c r="L176" s="6"/>
      <x:c r="M176" s="6"/>
      <x:c r="N176" s="6"/>
      <x:c r="O176" s="6"/>
      <x:c r="P176" s="6"/>
      <x:c r="Q176" s="7"/>
      <x:c r="R176" s="7"/>
      <x:c r="S176" s="7"/>
      <x:c r="T176" s="7"/>
      <x:c r="U176" s="7"/>
      <x:c r="V176" s="7"/>
      <x:c r="W176" s="7"/>
      <x:c r="X176" s="7"/>
      <x:c r="Y176" s="7"/>
      <x:c r="Z176" s="7"/>
      <x:c r="AA176" s="7"/>
      <x:c r="AB176" s="7"/>
      <x:c r="AC176" s="7"/>
      <x:c r="AD176" s="7"/>
      <x:c r="AE176" s="3"/>
      <x:c r="AF176" s="3"/>
      <x:c r="AG176" s="3"/>
      <x:c r="AH176" s="3"/>
      <x:c r="AI176" s="3"/>
      <x:c r="AJ176" s="9" t="str">
        <x:f>IF(A176="","",A176&amp;"|"&amp;B176)</x:f>
      </x:c>
      <x:c r="AK176" s="9" t="str">
        <x:f>IF(A176="",IF(B176="","","MISSING_TEST_ID"),IF(B176="","MISSING_RUN_ID",IF(COUNTIFS($A$2:$A$501,A176,$B$2:$B$501,B176)&lt;&gt;1,"DUPLICATE_ID","OK")))</x:f>
      </x:c>
      <x:c r="AL176" s="9" t="str">
        <x:f>IF(A176="","",IF(AND(AK176="OK",J176="READY",F176&lt;&gt;"",G176&lt;&gt;"",K176&lt;&gt;"",OR(L176="PASS",L176="FAIL"),M176&lt;&gt;"",P176="social-publication-v2"),"YES","NO"))</x:f>
      </x:c>
      <x:c r="AM176" s="9" t="str">
        <x:f>IF(A176="","",IF(AND(AK176="OK",J176="READY",F176&lt;&gt;"",G176&lt;&gt;"",K176&lt;&gt;"",S176="OK",OR(R176="PASS",R176="FAIL")),"YES","NO"))</x:f>
      </x:c>
      <x:c r="AN176" s="9" t="str">
        <x:f>IF(A176="","",F176&amp;" | "&amp;G176&amp;" | "&amp;H176&amp;" | "&amp;I176)</x:f>
      </x:c>
    </x:row>
    <x:row r="177" ht="33" customHeight="1">
      <x:c r="A177" s="3"/>
      <x:c r="B177" s="3"/>
      <x:c r="C177" s="3"/>
      <x:c r="D177" s="3"/>
      <x:c r="E177" s="3"/>
      <x:c r="F177" s="3"/>
      <x:c r="G177" s="3"/>
      <x:c r="H177" s="3"/>
      <x:c r="I177" s="3"/>
      <x:c r="J177" s="3"/>
      <x:c r="K177" s="3"/>
      <x:c r="L177" s="6"/>
      <x:c r="M177" s="6"/>
      <x:c r="N177" s="6"/>
      <x:c r="O177" s="6"/>
      <x:c r="P177" s="6"/>
      <x:c r="Q177" s="7"/>
      <x:c r="R177" s="7"/>
      <x:c r="S177" s="7"/>
      <x:c r="T177" s="7"/>
      <x:c r="U177" s="7"/>
      <x:c r="V177" s="7"/>
      <x:c r="W177" s="7"/>
      <x:c r="X177" s="7"/>
      <x:c r="Y177" s="7"/>
      <x:c r="Z177" s="7"/>
      <x:c r="AA177" s="7"/>
      <x:c r="AB177" s="7"/>
      <x:c r="AC177" s="7"/>
      <x:c r="AD177" s="7"/>
      <x:c r="AE177" s="3"/>
      <x:c r="AF177" s="3"/>
      <x:c r="AG177" s="3"/>
      <x:c r="AH177" s="3"/>
      <x:c r="AI177" s="3"/>
      <x:c r="AJ177" s="9" t="str">
        <x:f>IF(A177="","",A177&amp;"|"&amp;B177)</x:f>
      </x:c>
      <x:c r="AK177" s="9" t="str">
        <x:f>IF(A177="",IF(B177="","","MISSING_TEST_ID"),IF(B177="","MISSING_RUN_ID",IF(COUNTIFS($A$2:$A$501,A177,$B$2:$B$501,B177)&lt;&gt;1,"DUPLICATE_ID","OK")))</x:f>
      </x:c>
      <x:c r="AL177" s="9" t="str">
        <x:f>IF(A177="","",IF(AND(AK177="OK",J177="READY",F177&lt;&gt;"",G177&lt;&gt;"",K177&lt;&gt;"",OR(L177="PASS",L177="FAIL"),M177&lt;&gt;"",P177="social-publication-v2"),"YES","NO"))</x:f>
      </x:c>
      <x:c r="AM177" s="9" t="str">
        <x:f>IF(A177="","",IF(AND(AK177="OK",J177="READY",F177&lt;&gt;"",G177&lt;&gt;"",K177&lt;&gt;"",S177="OK",OR(R177="PASS",R177="FAIL")),"YES","NO"))</x:f>
      </x:c>
      <x:c r="AN177" s="9" t="str">
        <x:f>IF(A177="","",F177&amp;" | "&amp;G177&amp;" | "&amp;H177&amp;" | "&amp;I177)</x:f>
      </x:c>
    </x:row>
    <x:row r="178" ht="33" customHeight="1">
      <x:c r="A178" s="3"/>
      <x:c r="B178" s="3"/>
      <x:c r="C178" s="3"/>
      <x:c r="D178" s="3"/>
      <x:c r="E178" s="3"/>
      <x:c r="F178" s="3"/>
      <x:c r="G178" s="3"/>
      <x:c r="H178" s="3"/>
      <x:c r="I178" s="3"/>
      <x:c r="J178" s="3"/>
      <x:c r="K178" s="3"/>
      <x:c r="L178" s="6"/>
      <x:c r="M178" s="6"/>
      <x:c r="N178" s="6"/>
      <x:c r="O178" s="6"/>
      <x:c r="P178" s="6"/>
      <x:c r="Q178" s="7"/>
      <x:c r="R178" s="7"/>
      <x:c r="S178" s="7"/>
      <x:c r="T178" s="7"/>
      <x:c r="U178" s="7"/>
      <x:c r="V178" s="7"/>
      <x:c r="W178" s="7"/>
      <x:c r="X178" s="7"/>
      <x:c r="Y178" s="7"/>
      <x:c r="Z178" s="7"/>
      <x:c r="AA178" s="7"/>
      <x:c r="AB178" s="7"/>
      <x:c r="AC178" s="7"/>
      <x:c r="AD178" s="7"/>
      <x:c r="AE178" s="3"/>
      <x:c r="AF178" s="3"/>
      <x:c r="AG178" s="3"/>
      <x:c r="AH178" s="3"/>
      <x:c r="AI178" s="3"/>
      <x:c r="AJ178" s="9" t="str">
        <x:f>IF(A178="","",A178&amp;"|"&amp;B178)</x:f>
      </x:c>
      <x:c r="AK178" s="9" t="str">
        <x:f>IF(A178="",IF(B178="","","MISSING_TEST_ID"),IF(B178="","MISSING_RUN_ID",IF(COUNTIFS($A$2:$A$501,A178,$B$2:$B$501,B178)&lt;&gt;1,"DUPLICATE_ID","OK")))</x:f>
      </x:c>
      <x:c r="AL178" s="9" t="str">
        <x:f>IF(A178="","",IF(AND(AK178="OK",J178="READY",F178&lt;&gt;"",G178&lt;&gt;"",K178&lt;&gt;"",OR(L178="PASS",L178="FAIL"),M178&lt;&gt;"",P178="social-publication-v2"),"YES","NO"))</x:f>
      </x:c>
      <x:c r="AM178" s="9" t="str">
        <x:f>IF(A178="","",IF(AND(AK178="OK",J178="READY",F178&lt;&gt;"",G178&lt;&gt;"",K178&lt;&gt;"",S178="OK",OR(R178="PASS",R178="FAIL")),"YES","NO"))</x:f>
      </x:c>
      <x:c r="AN178" s="9" t="str">
        <x:f>IF(A178="","",F178&amp;" | "&amp;G178&amp;" | "&amp;H178&amp;" | "&amp;I178)</x:f>
      </x:c>
    </x:row>
    <x:row r="179" ht="33" customHeight="1">
      <x:c r="A179" s="3"/>
      <x:c r="B179" s="3"/>
      <x:c r="C179" s="3"/>
      <x:c r="D179" s="3"/>
      <x:c r="E179" s="3"/>
      <x:c r="F179" s="3"/>
      <x:c r="G179" s="3"/>
      <x:c r="H179" s="3"/>
      <x:c r="I179" s="3"/>
      <x:c r="J179" s="3"/>
      <x:c r="K179" s="3"/>
      <x:c r="L179" s="6"/>
      <x:c r="M179" s="6"/>
      <x:c r="N179" s="6"/>
      <x:c r="O179" s="6"/>
      <x:c r="P179" s="6"/>
      <x:c r="Q179" s="7"/>
      <x:c r="R179" s="7"/>
      <x:c r="S179" s="7"/>
      <x:c r="T179" s="7"/>
      <x:c r="U179" s="7"/>
      <x:c r="V179" s="7"/>
      <x:c r="W179" s="7"/>
      <x:c r="X179" s="7"/>
      <x:c r="Y179" s="7"/>
      <x:c r="Z179" s="7"/>
      <x:c r="AA179" s="7"/>
      <x:c r="AB179" s="7"/>
      <x:c r="AC179" s="7"/>
      <x:c r="AD179" s="7"/>
      <x:c r="AE179" s="3"/>
      <x:c r="AF179" s="3"/>
      <x:c r="AG179" s="3"/>
      <x:c r="AH179" s="3"/>
      <x:c r="AI179" s="3"/>
      <x:c r="AJ179" s="9" t="str">
        <x:f>IF(A179="","",A179&amp;"|"&amp;B179)</x:f>
      </x:c>
      <x:c r="AK179" s="9" t="str">
        <x:f>IF(A179="",IF(B179="","","MISSING_TEST_ID"),IF(B179="","MISSING_RUN_ID",IF(COUNTIFS($A$2:$A$501,A179,$B$2:$B$501,B179)&lt;&gt;1,"DUPLICATE_ID","OK")))</x:f>
      </x:c>
      <x:c r="AL179" s="9" t="str">
        <x:f>IF(A179="","",IF(AND(AK179="OK",J179="READY",F179&lt;&gt;"",G179&lt;&gt;"",K179&lt;&gt;"",OR(L179="PASS",L179="FAIL"),M179&lt;&gt;"",P179="social-publication-v2"),"YES","NO"))</x:f>
      </x:c>
      <x:c r="AM179" s="9" t="str">
        <x:f>IF(A179="","",IF(AND(AK179="OK",J179="READY",F179&lt;&gt;"",G179&lt;&gt;"",K179&lt;&gt;"",S179="OK",OR(R179="PASS",R179="FAIL")),"YES","NO"))</x:f>
      </x:c>
      <x:c r="AN179" s="9" t="str">
        <x:f>IF(A179="","",F179&amp;" | "&amp;G179&amp;" | "&amp;H179&amp;" | "&amp;I179)</x:f>
      </x:c>
    </x:row>
    <x:row r="180" ht="33" customHeight="1">
      <x:c r="A180" s="3"/>
      <x:c r="B180" s="3"/>
      <x:c r="C180" s="3"/>
      <x:c r="D180" s="3"/>
      <x:c r="E180" s="3"/>
      <x:c r="F180" s="3"/>
      <x:c r="G180" s="3"/>
      <x:c r="H180" s="3"/>
      <x:c r="I180" s="3"/>
      <x:c r="J180" s="3"/>
      <x:c r="K180" s="3"/>
      <x:c r="L180" s="6"/>
      <x:c r="M180" s="6"/>
      <x:c r="N180" s="6"/>
      <x:c r="O180" s="6"/>
      <x:c r="P180" s="6"/>
      <x:c r="Q180" s="7"/>
      <x:c r="R180" s="7"/>
      <x:c r="S180" s="7"/>
      <x:c r="T180" s="7"/>
      <x:c r="U180" s="7"/>
      <x:c r="V180" s="7"/>
      <x:c r="W180" s="7"/>
      <x:c r="X180" s="7"/>
      <x:c r="Y180" s="7"/>
      <x:c r="Z180" s="7"/>
      <x:c r="AA180" s="7"/>
      <x:c r="AB180" s="7"/>
      <x:c r="AC180" s="7"/>
      <x:c r="AD180" s="7"/>
      <x:c r="AE180" s="3"/>
      <x:c r="AF180" s="3"/>
      <x:c r="AG180" s="3"/>
      <x:c r="AH180" s="3"/>
      <x:c r="AI180" s="3"/>
      <x:c r="AJ180" s="9" t="str">
        <x:f>IF(A180="","",A180&amp;"|"&amp;B180)</x:f>
      </x:c>
      <x:c r="AK180" s="9" t="str">
        <x:f>IF(A180="",IF(B180="","","MISSING_TEST_ID"),IF(B180="","MISSING_RUN_ID",IF(COUNTIFS($A$2:$A$501,A180,$B$2:$B$501,B180)&lt;&gt;1,"DUPLICATE_ID","OK")))</x:f>
      </x:c>
      <x:c r="AL180" s="9" t="str">
        <x:f>IF(A180="","",IF(AND(AK180="OK",J180="READY",F180&lt;&gt;"",G180&lt;&gt;"",K180&lt;&gt;"",OR(L180="PASS",L180="FAIL"),M180&lt;&gt;"",P180="social-publication-v2"),"YES","NO"))</x:f>
      </x:c>
      <x:c r="AM180" s="9" t="str">
        <x:f>IF(A180="","",IF(AND(AK180="OK",J180="READY",F180&lt;&gt;"",G180&lt;&gt;"",K180&lt;&gt;"",S180="OK",OR(R180="PASS",R180="FAIL")),"YES","NO"))</x:f>
      </x:c>
      <x:c r="AN180" s="9" t="str">
        <x:f>IF(A180="","",F180&amp;" | "&amp;G180&amp;" | "&amp;H180&amp;" | "&amp;I180)</x:f>
      </x:c>
    </x:row>
    <x:row r="181" ht="33" customHeight="1">
      <x:c r="A181" s="3"/>
      <x:c r="B181" s="3"/>
      <x:c r="C181" s="3"/>
      <x:c r="D181" s="3"/>
      <x:c r="E181" s="3"/>
      <x:c r="F181" s="3"/>
      <x:c r="G181" s="3"/>
      <x:c r="H181" s="3"/>
      <x:c r="I181" s="3"/>
      <x:c r="J181" s="3"/>
      <x:c r="K181" s="3"/>
      <x:c r="L181" s="6"/>
      <x:c r="M181" s="6"/>
      <x:c r="N181" s="6"/>
      <x:c r="O181" s="6"/>
      <x:c r="P181" s="6"/>
      <x:c r="Q181" s="7"/>
      <x:c r="R181" s="7"/>
      <x:c r="S181" s="7"/>
      <x:c r="T181" s="7"/>
      <x:c r="U181" s="7"/>
      <x:c r="V181" s="7"/>
      <x:c r="W181" s="7"/>
      <x:c r="X181" s="7"/>
      <x:c r="Y181" s="7"/>
      <x:c r="Z181" s="7"/>
      <x:c r="AA181" s="7"/>
      <x:c r="AB181" s="7"/>
      <x:c r="AC181" s="7"/>
      <x:c r="AD181" s="7"/>
      <x:c r="AE181" s="3"/>
      <x:c r="AF181" s="3"/>
      <x:c r="AG181" s="3"/>
      <x:c r="AH181" s="3"/>
      <x:c r="AI181" s="3"/>
      <x:c r="AJ181" s="9" t="str">
        <x:f>IF(A181="","",A181&amp;"|"&amp;B181)</x:f>
      </x:c>
      <x:c r="AK181" s="9" t="str">
        <x:f>IF(A181="",IF(B181="","","MISSING_TEST_ID"),IF(B181="","MISSING_RUN_ID",IF(COUNTIFS($A$2:$A$501,A181,$B$2:$B$501,B181)&lt;&gt;1,"DUPLICATE_ID","OK")))</x:f>
      </x:c>
      <x:c r="AL181" s="9" t="str">
        <x:f>IF(A181="","",IF(AND(AK181="OK",J181="READY",F181&lt;&gt;"",G181&lt;&gt;"",K181&lt;&gt;"",OR(L181="PASS",L181="FAIL"),M181&lt;&gt;"",P181="social-publication-v2"),"YES","NO"))</x:f>
      </x:c>
      <x:c r="AM181" s="9" t="str">
        <x:f>IF(A181="","",IF(AND(AK181="OK",J181="READY",F181&lt;&gt;"",G181&lt;&gt;"",K181&lt;&gt;"",S181="OK",OR(R181="PASS",R181="FAIL")),"YES","NO"))</x:f>
      </x:c>
      <x:c r="AN181" s="9" t="str">
        <x:f>IF(A181="","",F181&amp;" | "&amp;G181&amp;" | "&amp;H181&amp;" | "&amp;I181)</x:f>
      </x:c>
    </x:row>
    <x:row r="182" ht="33" customHeight="1">
      <x:c r="A182" s="3"/>
      <x:c r="B182" s="3"/>
      <x:c r="C182" s="3"/>
      <x:c r="D182" s="3"/>
      <x:c r="E182" s="3"/>
      <x:c r="F182" s="3"/>
      <x:c r="G182" s="3"/>
      <x:c r="H182" s="3"/>
      <x:c r="I182" s="3"/>
      <x:c r="J182" s="3"/>
      <x:c r="K182" s="3"/>
      <x:c r="L182" s="6"/>
      <x:c r="M182" s="6"/>
      <x:c r="N182" s="6"/>
      <x:c r="O182" s="6"/>
      <x:c r="P182" s="6"/>
      <x:c r="Q182" s="7"/>
      <x:c r="R182" s="7"/>
      <x:c r="S182" s="7"/>
      <x:c r="T182" s="7"/>
      <x:c r="U182" s="7"/>
      <x:c r="V182" s="7"/>
      <x:c r="W182" s="7"/>
      <x:c r="X182" s="7"/>
      <x:c r="Y182" s="7"/>
      <x:c r="Z182" s="7"/>
      <x:c r="AA182" s="7"/>
      <x:c r="AB182" s="7"/>
      <x:c r="AC182" s="7"/>
      <x:c r="AD182" s="7"/>
      <x:c r="AE182" s="3"/>
      <x:c r="AF182" s="3"/>
      <x:c r="AG182" s="3"/>
      <x:c r="AH182" s="3"/>
      <x:c r="AI182" s="3"/>
      <x:c r="AJ182" s="9" t="str">
        <x:f>IF(A182="","",A182&amp;"|"&amp;B182)</x:f>
      </x:c>
      <x:c r="AK182" s="9" t="str">
        <x:f>IF(A182="",IF(B182="","","MISSING_TEST_ID"),IF(B182="","MISSING_RUN_ID",IF(COUNTIFS($A$2:$A$501,A182,$B$2:$B$501,B182)&lt;&gt;1,"DUPLICATE_ID","OK")))</x:f>
      </x:c>
      <x:c r="AL182" s="9" t="str">
        <x:f>IF(A182="","",IF(AND(AK182="OK",J182="READY",F182&lt;&gt;"",G182&lt;&gt;"",K182&lt;&gt;"",OR(L182="PASS",L182="FAIL"),M182&lt;&gt;"",P182="social-publication-v2"),"YES","NO"))</x:f>
      </x:c>
      <x:c r="AM182" s="9" t="str">
        <x:f>IF(A182="","",IF(AND(AK182="OK",J182="READY",F182&lt;&gt;"",G182&lt;&gt;"",K182&lt;&gt;"",S182="OK",OR(R182="PASS",R182="FAIL")),"YES","NO"))</x:f>
      </x:c>
      <x:c r="AN182" s="9" t="str">
        <x:f>IF(A182="","",F182&amp;" | "&amp;G182&amp;" | "&amp;H182&amp;" | "&amp;I182)</x:f>
      </x:c>
    </x:row>
    <x:row r="183" ht="33" customHeight="1">
      <x:c r="A183" s="3"/>
      <x:c r="B183" s="3"/>
      <x:c r="C183" s="3"/>
      <x:c r="D183" s="3"/>
      <x:c r="E183" s="3"/>
      <x:c r="F183" s="3"/>
      <x:c r="G183" s="3"/>
      <x:c r="H183" s="3"/>
      <x:c r="I183" s="3"/>
      <x:c r="J183" s="3"/>
      <x:c r="K183" s="3"/>
      <x:c r="L183" s="6"/>
      <x:c r="M183" s="6"/>
      <x:c r="N183" s="6"/>
      <x:c r="O183" s="6"/>
      <x:c r="P183" s="6"/>
      <x:c r="Q183" s="7"/>
      <x:c r="R183" s="7"/>
      <x:c r="S183" s="7"/>
      <x:c r="T183" s="7"/>
      <x:c r="U183" s="7"/>
      <x:c r="V183" s="7"/>
      <x:c r="W183" s="7"/>
      <x:c r="X183" s="7"/>
      <x:c r="Y183" s="7"/>
      <x:c r="Z183" s="7"/>
      <x:c r="AA183" s="7"/>
      <x:c r="AB183" s="7"/>
      <x:c r="AC183" s="7"/>
      <x:c r="AD183" s="7"/>
      <x:c r="AE183" s="3"/>
      <x:c r="AF183" s="3"/>
      <x:c r="AG183" s="3"/>
      <x:c r="AH183" s="3"/>
      <x:c r="AI183" s="3"/>
      <x:c r="AJ183" s="9" t="str">
        <x:f>IF(A183="","",A183&amp;"|"&amp;B183)</x:f>
      </x:c>
      <x:c r="AK183" s="9" t="str">
        <x:f>IF(A183="",IF(B183="","","MISSING_TEST_ID"),IF(B183="","MISSING_RUN_ID",IF(COUNTIFS($A$2:$A$501,A183,$B$2:$B$501,B183)&lt;&gt;1,"DUPLICATE_ID","OK")))</x:f>
      </x:c>
      <x:c r="AL183" s="9" t="str">
        <x:f>IF(A183="","",IF(AND(AK183="OK",J183="READY",F183&lt;&gt;"",G183&lt;&gt;"",K183&lt;&gt;"",OR(L183="PASS",L183="FAIL"),M183&lt;&gt;"",P183="social-publication-v2"),"YES","NO"))</x:f>
      </x:c>
      <x:c r="AM183" s="9" t="str">
        <x:f>IF(A183="","",IF(AND(AK183="OK",J183="READY",F183&lt;&gt;"",G183&lt;&gt;"",K183&lt;&gt;"",S183="OK",OR(R183="PASS",R183="FAIL")),"YES","NO"))</x:f>
      </x:c>
      <x:c r="AN183" s="9" t="str">
        <x:f>IF(A183="","",F183&amp;" | "&amp;G183&amp;" | "&amp;H183&amp;" | "&amp;I183)</x:f>
      </x:c>
    </x:row>
    <x:row r="184" ht="33" customHeight="1">
      <x:c r="A184" s="3"/>
      <x:c r="B184" s="3"/>
      <x:c r="C184" s="3"/>
      <x:c r="D184" s="3"/>
      <x:c r="E184" s="3"/>
      <x:c r="F184" s="3"/>
      <x:c r="G184" s="3"/>
      <x:c r="H184" s="3"/>
      <x:c r="I184" s="3"/>
      <x:c r="J184" s="3"/>
      <x:c r="K184" s="3"/>
      <x:c r="L184" s="6"/>
      <x:c r="M184" s="6"/>
      <x:c r="N184" s="6"/>
      <x:c r="O184" s="6"/>
      <x:c r="P184" s="6"/>
      <x:c r="Q184" s="7"/>
      <x:c r="R184" s="7"/>
      <x:c r="S184" s="7"/>
      <x:c r="T184" s="7"/>
      <x:c r="U184" s="7"/>
      <x:c r="V184" s="7"/>
      <x:c r="W184" s="7"/>
      <x:c r="X184" s="7"/>
      <x:c r="Y184" s="7"/>
      <x:c r="Z184" s="7"/>
      <x:c r="AA184" s="7"/>
      <x:c r="AB184" s="7"/>
      <x:c r="AC184" s="7"/>
      <x:c r="AD184" s="7"/>
      <x:c r="AE184" s="3"/>
      <x:c r="AF184" s="3"/>
      <x:c r="AG184" s="3"/>
      <x:c r="AH184" s="3"/>
      <x:c r="AI184" s="3"/>
      <x:c r="AJ184" s="9" t="str">
        <x:f>IF(A184="","",A184&amp;"|"&amp;B184)</x:f>
      </x:c>
      <x:c r="AK184" s="9" t="str">
        <x:f>IF(A184="",IF(B184="","","MISSING_TEST_ID"),IF(B184="","MISSING_RUN_ID",IF(COUNTIFS($A$2:$A$501,A184,$B$2:$B$501,B184)&lt;&gt;1,"DUPLICATE_ID","OK")))</x:f>
      </x:c>
      <x:c r="AL184" s="9" t="str">
        <x:f>IF(A184="","",IF(AND(AK184="OK",J184="READY",F184&lt;&gt;"",G184&lt;&gt;"",K184&lt;&gt;"",OR(L184="PASS",L184="FAIL"),M184&lt;&gt;"",P184="social-publication-v2"),"YES","NO"))</x:f>
      </x:c>
      <x:c r="AM184" s="9" t="str">
        <x:f>IF(A184="","",IF(AND(AK184="OK",J184="READY",F184&lt;&gt;"",G184&lt;&gt;"",K184&lt;&gt;"",S184="OK",OR(R184="PASS",R184="FAIL")),"YES","NO"))</x:f>
      </x:c>
      <x:c r="AN184" s="9" t="str">
        <x:f>IF(A184="","",F184&amp;" | "&amp;G184&amp;" | "&amp;H184&amp;" | "&amp;I184)</x:f>
      </x:c>
    </x:row>
    <x:row r="185" ht="33" customHeight="1">
      <x:c r="A185" s="3"/>
      <x:c r="B185" s="3"/>
      <x:c r="C185" s="3"/>
      <x:c r="D185" s="3"/>
      <x:c r="E185" s="3"/>
      <x:c r="F185" s="3"/>
      <x:c r="G185" s="3"/>
      <x:c r="H185" s="3"/>
      <x:c r="I185" s="3"/>
      <x:c r="J185" s="3"/>
      <x:c r="K185" s="3"/>
      <x:c r="L185" s="6"/>
      <x:c r="M185" s="6"/>
      <x:c r="N185" s="6"/>
      <x:c r="O185" s="6"/>
      <x:c r="P185" s="6"/>
      <x:c r="Q185" s="7"/>
      <x:c r="R185" s="7"/>
      <x:c r="S185" s="7"/>
      <x:c r="T185" s="7"/>
      <x:c r="U185" s="7"/>
      <x:c r="V185" s="7"/>
      <x:c r="W185" s="7"/>
      <x:c r="X185" s="7"/>
      <x:c r="Y185" s="7"/>
      <x:c r="Z185" s="7"/>
      <x:c r="AA185" s="7"/>
      <x:c r="AB185" s="7"/>
      <x:c r="AC185" s="7"/>
      <x:c r="AD185" s="7"/>
      <x:c r="AE185" s="3"/>
      <x:c r="AF185" s="3"/>
      <x:c r="AG185" s="3"/>
      <x:c r="AH185" s="3"/>
      <x:c r="AI185" s="3"/>
      <x:c r="AJ185" s="9" t="str">
        <x:f>IF(A185="","",A185&amp;"|"&amp;B185)</x:f>
      </x:c>
      <x:c r="AK185" s="9" t="str">
        <x:f>IF(A185="",IF(B185="","","MISSING_TEST_ID"),IF(B185="","MISSING_RUN_ID",IF(COUNTIFS($A$2:$A$501,A185,$B$2:$B$501,B185)&lt;&gt;1,"DUPLICATE_ID","OK")))</x:f>
      </x:c>
      <x:c r="AL185" s="9" t="str">
        <x:f>IF(A185="","",IF(AND(AK185="OK",J185="READY",F185&lt;&gt;"",G185&lt;&gt;"",K185&lt;&gt;"",OR(L185="PASS",L185="FAIL"),M185&lt;&gt;"",P185="social-publication-v2"),"YES","NO"))</x:f>
      </x:c>
      <x:c r="AM185" s="9" t="str">
        <x:f>IF(A185="","",IF(AND(AK185="OK",J185="READY",F185&lt;&gt;"",G185&lt;&gt;"",K185&lt;&gt;"",S185="OK",OR(R185="PASS",R185="FAIL")),"YES","NO"))</x:f>
      </x:c>
      <x:c r="AN185" s="9" t="str">
        <x:f>IF(A185="","",F185&amp;" | "&amp;G185&amp;" | "&amp;H185&amp;" | "&amp;I185)</x:f>
      </x:c>
    </x:row>
    <x:row r="186" ht="33" customHeight="1">
      <x:c r="A186" s="3"/>
      <x:c r="B186" s="3"/>
      <x:c r="C186" s="3"/>
      <x:c r="D186" s="3"/>
      <x:c r="E186" s="3"/>
      <x:c r="F186" s="3"/>
      <x:c r="G186" s="3"/>
      <x:c r="H186" s="3"/>
      <x:c r="I186" s="3"/>
      <x:c r="J186" s="3"/>
      <x:c r="K186" s="3"/>
      <x:c r="L186" s="6"/>
      <x:c r="M186" s="6"/>
      <x:c r="N186" s="6"/>
      <x:c r="O186" s="6"/>
      <x:c r="P186" s="6"/>
      <x:c r="Q186" s="7"/>
      <x:c r="R186" s="7"/>
      <x:c r="S186" s="7"/>
      <x:c r="T186" s="7"/>
      <x:c r="U186" s="7"/>
      <x:c r="V186" s="7"/>
      <x:c r="W186" s="7"/>
      <x:c r="X186" s="7"/>
      <x:c r="Y186" s="7"/>
      <x:c r="Z186" s="7"/>
      <x:c r="AA186" s="7"/>
      <x:c r="AB186" s="7"/>
      <x:c r="AC186" s="7"/>
      <x:c r="AD186" s="7"/>
      <x:c r="AE186" s="3"/>
      <x:c r="AF186" s="3"/>
      <x:c r="AG186" s="3"/>
      <x:c r="AH186" s="3"/>
      <x:c r="AI186" s="3"/>
      <x:c r="AJ186" s="9" t="str">
        <x:f>IF(A186="","",A186&amp;"|"&amp;B186)</x:f>
      </x:c>
      <x:c r="AK186" s="9" t="str">
        <x:f>IF(A186="",IF(B186="","","MISSING_TEST_ID"),IF(B186="","MISSING_RUN_ID",IF(COUNTIFS($A$2:$A$501,A186,$B$2:$B$501,B186)&lt;&gt;1,"DUPLICATE_ID","OK")))</x:f>
      </x:c>
      <x:c r="AL186" s="9" t="str">
        <x:f>IF(A186="","",IF(AND(AK186="OK",J186="READY",F186&lt;&gt;"",G186&lt;&gt;"",K186&lt;&gt;"",OR(L186="PASS",L186="FAIL"),M186&lt;&gt;"",P186="social-publication-v2"),"YES","NO"))</x:f>
      </x:c>
      <x:c r="AM186" s="9" t="str">
        <x:f>IF(A186="","",IF(AND(AK186="OK",J186="READY",F186&lt;&gt;"",G186&lt;&gt;"",K186&lt;&gt;"",S186="OK",OR(R186="PASS",R186="FAIL")),"YES","NO"))</x:f>
      </x:c>
      <x:c r="AN186" s="9" t="str">
        <x:f>IF(A186="","",F186&amp;" | "&amp;G186&amp;" | "&amp;H186&amp;" | "&amp;I186)</x:f>
      </x:c>
    </x:row>
    <x:row r="187" ht="33" customHeight="1">
      <x:c r="A187" s="3"/>
      <x:c r="B187" s="3"/>
      <x:c r="C187" s="3"/>
      <x:c r="D187" s="3"/>
      <x:c r="E187" s="3"/>
      <x:c r="F187" s="3"/>
      <x:c r="G187" s="3"/>
      <x:c r="H187" s="3"/>
      <x:c r="I187" s="3"/>
      <x:c r="J187" s="3"/>
      <x:c r="K187" s="3"/>
      <x:c r="L187" s="6"/>
      <x:c r="M187" s="6"/>
      <x:c r="N187" s="6"/>
      <x:c r="O187" s="6"/>
      <x:c r="P187" s="6"/>
      <x:c r="Q187" s="7"/>
      <x:c r="R187" s="7"/>
      <x:c r="S187" s="7"/>
      <x:c r="T187" s="7"/>
      <x:c r="U187" s="7"/>
      <x:c r="V187" s="7"/>
      <x:c r="W187" s="7"/>
      <x:c r="X187" s="7"/>
      <x:c r="Y187" s="7"/>
      <x:c r="Z187" s="7"/>
      <x:c r="AA187" s="7"/>
      <x:c r="AB187" s="7"/>
      <x:c r="AC187" s="7"/>
      <x:c r="AD187" s="7"/>
      <x:c r="AE187" s="3"/>
      <x:c r="AF187" s="3"/>
      <x:c r="AG187" s="3"/>
      <x:c r="AH187" s="3"/>
      <x:c r="AI187" s="3"/>
      <x:c r="AJ187" s="9" t="str">
        <x:f>IF(A187="","",A187&amp;"|"&amp;B187)</x:f>
      </x:c>
      <x:c r="AK187" s="9" t="str">
        <x:f>IF(A187="",IF(B187="","","MISSING_TEST_ID"),IF(B187="","MISSING_RUN_ID",IF(COUNTIFS($A$2:$A$501,A187,$B$2:$B$501,B187)&lt;&gt;1,"DUPLICATE_ID","OK")))</x:f>
      </x:c>
      <x:c r="AL187" s="9" t="str">
        <x:f>IF(A187="","",IF(AND(AK187="OK",J187="READY",F187&lt;&gt;"",G187&lt;&gt;"",K187&lt;&gt;"",OR(L187="PASS",L187="FAIL"),M187&lt;&gt;"",P187="social-publication-v2"),"YES","NO"))</x:f>
      </x:c>
      <x:c r="AM187" s="9" t="str">
        <x:f>IF(A187="","",IF(AND(AK187="OK",J187="READY",F187&lt;&gt;"",G187&lt;&gt;"",K187&lt;&gt;"",S187="OK",OR(R187="PASS",R187="FAIL")),"YES","NO"))</x:f>
      </x:c>
      <x:c r="AN187" s="9" t="str">
        <x:f>IF(A187="","",F187&amp;" | "&amp;G187&amp;" | "&amp;H187&amp;" | "&amp;I187)</x:f>
      </x:c>
    </x:row>
    <x:row r="188" ht="33" customHeight="1">
      <x:c r="A188" s="3"/>
      <x:c r="B188" s="3"/>
      <x:c r="C188" s="3"/>
      <x:c r="D188" s="3"/>
      <x:c r="E188" s="3"/>
      <x:c r="F188" s="3"/>
      <x:c r="G188" s="3"/>
      <x:c r="H188" s="3"/>
      <x:c r="I188" s="3"/>
      <x:c r="J188" s="3"/>
      <x:c r="K188" s="3"/>
      <x:c r="L188" s="6"/>
      <x:c r="M188" s="6"/>
      <x:c r="N188" s="6"/>
      <x:c r="O188" s="6"/>
      <x:c r="P188" s="6"/>
      <x:c r="Q188" s="7"/>
      <x:c r="R188" s="7"/>
      <x:c r="S188" s="7"/>
      <x:c r="T188" s="7"/>
      <x:c r="U188" s="7"/>
      <x:c r="V188" s="7"/>
      <x:c r="W188" s="7"/>
      <x:c r="X188" s="7"/>
      <x:c r="Y188" s="7"/>
      <x:c r="Z188" s="7"/>
      <x:c r="AA188" s="7"/>
      <x:c r="AB188" s="7"/>
      <x:c r="AC188" s="7"/>
      <x:c r="AD188" s="7"/>
      <x:c r="AE188" s="3"/>
      <x:c r="AF188" s="3"/>
      <x:c r="AG188" s="3"/>
      <x:c r="AH188" s="3"/>
      <x:c r="AI188" s="3"/>
      <x:c r="AJ188" s="9" t="str">
        <x:f>IF(A188="","",A188&amp;"|"&amp;B188)</x:f>
      </x:c>
      <x:c r="AK188" s="9" t="str">
        <x:f>IF(A188="",IF(B188="","","MISSING_TEST_ID"),IF(B188="","MISSING_RUN_ID",IF(COUNTIFS($A$2:$A$501,A188,$B$2:$B$501,B188)&lt;&gt;1,"DUPLICATE_ID","OK")))</x:f>
      </x:c>
      <x:c r="AL188" s="9" t="str">
        <x:f>IF(A188="","",IF(AND(AK188="OK",J188="READY",F188&lt;&gt;"",G188&lt;&gt;"",K188&lt;&gt;"",OR(L188="PASS",L188="FAIL"),M188&lt;&gt;"",P188="social-publication-v2"),"YES","NO"))</x:f>
      </x:c>
      <x:c r="AM188" s="9" t="str">
        <x:f>IF(A188="","",IF(AND(AK188="OK",J188="READY",F188&lt;&gt;"",G188&lt;&gt;"",K188&lt;&gt;"",S188="OK",OR(R188="PASS",R188="FAIL")),"YES","NO"))</x:f>
      </x:c>
      <x:c r="AN188" s="9" t="str">
        <x:f>IF(A188="","",F188&amp;" | "&amp;G188&amp;" | "&amp;H188&amp;" | "&amp;I188)</x:f>
      </x:c>
    </x:row>
    <x:row r="189" ht="33" customHeight="1">
      <x:c r="A189" s="3"/>
      <x:c r="B189" s="3"/>
      <x:c r="C189" s="3"/>
      <x:c r="D189" s="3"/>
      <x:c r="E189" s="3"/>
      <x:c r="F189" s="3"/>
      <x:c r="G189" s="3"/>
      <x:c r="H189" s="3"/>
      <x:c r="I189" s="3"/>
      <x:c r="J189" s="3"/>
      <x:c r="K189" s="3"/>
      <x:c r="L189" s="6"/>
      <x:c r="M189" s="6"/>
      <x:c r="N189" s="6"/>
      <x:c r="O189" s="6"/>
      <x:c r="P189" s="6"/>
      <x:c r="Q189" s="7"/>
      <x:c r="R189" s="7"/>
      <x:c r="S189" s="7"/>
      <x:c r="T189" s="7"/>
      <x:c r="U189" s="7"/>
      <x:c r="V189" s="7"/>
      <x:c r="W189" s="7"/>
      <x:c r="X189" s="7"/>
      <x:c r="Y189" s="7"/>
      <x:c r="Z189" s="7"/>
      <x:c r="AA189" s="7"/>
      <x:c r="AB189" s="7"/>
      <x:c r="AC189" s="7"/>
      <x:c r="AD189" s="7"/>
      <x:c r="AE189" s="3"/>
      <x:c r="AF189" s="3"/>
      <x:c r="AG189" s="3"/>
      <x:c r="AH189" s="3"/>
      <x:c r="AI189" s="3"/>
      <x:c r="AJ189" s="9" t="str">
        <x:f>IF(A189="","",A189&amp;"|"&amp;B189)</x:f>
      </x:c>
      <x:c r="AK189" s="9" t="str">
        <x:f>IF(A189="",IF(B189="","","MISSING_TEST_ID"),IF(B189="","MISSING_RUN_ID",IF(COUNTIFS($A$2:$A$501,A189,$B$2:$B$501,B189)&lt;&gt;1,"DUPLICATE_ID","OK")))</x:f>
      </x:c>
      <x:c r="AL189" s="9" t="str">
        <x:f>IF(A189="","",IF(AND(AK189="OK",J189="READY",F189&lt;&gt;"",G189&lt;&gt;"",K189&lt;&gt;"",OR(L189="PASS",L189="FAIL"),M189&lt;&gt;"",P189="social-publication-v2"),"YES","NO"))</x:f>
      </x:c>
      <x:c r="AM189" s="9" t="str">
        <x:f>IF(A189="","",IF(AND(AK189="OK",J189="READY",F189&lt;&gt;"",G189&lt;&gt;"",K189&lt;&gt;"",S189="OK",OR(R189="PASS",R189="FAIL")),"YES","NO"))</x:f>
      </x:c>
      <x:c r="AN189" s="9" t="str">
        <x:f>IF(A189="","",F189&amp;" | "&amp;G189&amp;" | "&amp;H189&amp;" | "&amp;I189)</x:f>
      </x:c>
    </x:row>
    <x:row r="190" ht="33" customHeight="1">
      <x:c r="A190" s="3"/>
      <x:c r="B190" s="3"/>
      <x:c r="C190" s="3"/>
      <x:c r="D190" s="3"/>
      <x:c r="E190" s="3"/>
      <x:c r="F190" s="3"/>
      <x:c r="G190" s="3"/>
      <x:c r="H190" s="3"/>
      <x:c r="I190" s="3"/>
      <x:c r="J190" s="3"/>
      <x:c r="K190" s="3"/>
      <x:c r="L190" s="6"/>
      <x:c r="M190" s="6"/>
      <x:c r="N190" s="6"/>
      <x:c r="O190" s="6"/>
      <x:c r="P190" s="6"/>
      <x:c r="Q190" s="7"/>
      <x:c r="R190" s="7"/>
      <x:c r="S190" s="7"/>
      <x:c r="T190" s="7"/>
      <x:c r="U190" s="7"/>
      <x:c r="V190" s="7"/>
      <x:c r="W190" s="7"/>
      <x:c r="X190" s="7"/>
      <x:c r="Y190" s="7"/>
      <x:c r="Z190" s="7"/>
      <x:c r="AA190" s="7"/>
      <x:c r="AB190" s="7"/>
      <x:c r="AC190" s="7"/>
      <x:c r="AD190" s="7"/>
      <x:c r="AE190" s="3"/>
      <x:c r="AF190" s="3"/>
      <x:c r="AG190" s="3"/>
      <x:c r="AH190" s="3"/>
      <x:c r="AI190" s="3"/>
      <x:c r="AJ190" s="9" t="str">
        <x:f>IF(A190="","",A190&amp;"|"&amp;B190)</x:f>
      </x:c>
      <x:c r="AK190" s="9" t="str">
        <x:f>IF(A190="",IF(B190="","","MISSING_TEST_ID"),IF(B190="","MISSING_RUN_ID",IF(COUNTIFS($A$2:$A$501,A190,$B$2:$B$501,B190)&lt;&gt;1,"DUPLICATE_ID","OK")))</x:f>
      </x:c>
      <x:c r="AL190" s="9" t="str">
        <x:f>IF(A190="","",IF(AND(AK190="OK",J190="READY",F190&lt;&gt;"",G190&lt;&gt;"",K190&lt;&gt;"",OR(L190="PASS",L190="FAIL"),M190&lt;&gt;"",P190="social-publication-v2"),"YES","NO"))</x:f>
      </x:c>
      <x:c r="AM190" s="9" t="str">
        <x:f>IF(A190="","",IF(AND(AK190="OK",J190="READY",F190&lt;&gt;"",G190&lt;&gt;"",K190&lt;&gt;"",S190="OK",OR(R190="PASS",R190="FAIL")),"YES","NO"))</x:f>
      </x:c>
      <x:c r="AN190" s="9" t="str">
        <x:f>IF(A190="","",F190&amp;" | "&amp;G190&amp;" | "&amp;H190&amp;" | "&amp;I190)</x:f>
      </x:c>
    </x:row>
    <x:row r="191" ht="33" customHeight="1">
      <x:c r="A191" s="3"/>
      <x:c r="B191" s="3"/>
      <x:c r="C191" s="3"/>
      <x:c r="D191" s="3"/>
      <x:c r="E191" s="3"/>
      <x:c r="F191" s="3"/>
      <x:c r="G191" s="3"/>
      <x:c r="H191" s="3"/>
      <x:c r="I191" s="3"/>
      <x:c r="J191" s="3"/>
      <x:c r="K191" s="3"/>
      <x:c r="L191" s="6"/>
      <x:c r="M191" s="6"/>
      <x:c r="N191" s="6"/>
      <x:c r="O191" s="6"/>
      <x:c r="P191" s="6"/>
      <x:c r="Q191" s="7"/>
      <x:c r="R191" s="7"/>
      <x:c r="S191" s="7"/>
      <x:c r="T191" s="7"/>
      <x:c r="U191" s="7"/>
      <x:c r="V191" s="7"/>
      <x:c r="W191" s="7"/>
      <x:c r="X191" s="7"/>
      <x:c r="Y191" s="7"/>
      <x:c r="Z191" s="7"/>
      <x:c r="AA191" s="7"/>
      <x:c r="AB191" s="7"/>
      <x:c r="AC191" s="7"/>
      <x:c r="AD191" s="7"/>
      <x:c r="AE191" s="3"/>
      <x:c r="AF191" s="3"/>
      <x:c r="AG191" s="3"/>
      <x:c r="AH191" s="3"/>
      <x:c r="AI191" s="3"/>
      <x:c r="AJ191" s="9" t="str">
        <x:f>IF(A191="","",A191&amp;"|"&amp;B191)</x:f>
      </x:c>
      <x:c r="AK191" s="9" t="str">
        <x:f>IF(A191="",IF(B191="","","MISSING_TEST_ID"),IF(B191="","MISSING_RUN_ID",IF(COUNTIFS($A$2:$A$501,A191,$B$2:$B$501,B191)&lt;&gt;1,"DUPLICATE_ID","OK")))</x:f>
      </x:c>
      <x:c r="AL191" s="9" t="str">
        <x:f>IF(A191="","",IF(AND(AK191="OK",J191="READY",F191&lt;&gt;"",G191&lt;&gt;"",K191&lt;&gt;"",OR(L191="PASS",L191="FAIL"),M191&lt;&gt;"",P191="social-publication-v2"),"YES","NO"))</x:f>
      </x:c>
      <x:c r="AM191" s="9" t="str">
        <x:f>IF(A191="","",IF(AND(AK191="OK",J191="READY",F191&lt;&gt;"",G191&lt;&gt;"",K191&lt;&gt;"",S191="OK",OR(R191="PASS",R191="FAIL")),"YES","NO"))</x:f>
      </x:c>
      <x:c r="AN191" s="9" t="str">
        <x:f>IF(A191="","",F191&amp;" | "&amp;G191&amp;" | "&amp;H191&amp;" | "&amp;I191)</x:f>
      </x:c>
    </x:row>
    <x:row r="192" ht="33" customHeight="1">
      <x:c r="A192" s="3"/>
      <x:c r="B192" s="3"/>
      <x:c r="C192" s="3"/>
      <x:c r="D192" s="3"/>
      <x:c r="E192" s="3"/>
      <x:c r="F192" s="3"/>
      <x:c r="G192" s="3"/>
      <x:c r="H192" s="3"/>
      <x:c r="I192" s="3"/>
      <x:c r="J192" s="3"/>
      <x:c r="K192" s="3"/>
      <x:c r="L192" s="6"/>
      <x:c r="M192" s="6"/>
      <x:c r="N192" s="6"/>
      <x:c r="O192" s="6"/>
      <x:c r="P192" s="6"/>
      <x:c r="Q192" s="7"/>
      <x:c r="R192" s="7"/>
      <x:c r="S192" s="7"/>
      <x:c r="T192" s="7"/>
      <x:c r="U192" s="7"/>
      <x:c r="V192" s="7"/>
      <x:c r="W192" s="7"/>
      <x:c r="X192" s="7"/>
      <x:c r="Y192" s="7"/>
      <x:c r="Z192" s="7"/>
      <x:c r="AA192" s="7"/>
      <x:c r="AB192" s="7"/>
      <x:c r="AC192" s="7"/>
      <x:c r="AD192" s="7"/>
      <x:c r="AE192" s="3"/>
      <x:c r="AF192" s="3"/>
      <x:c r="AG192" s="3"/>
      <x:c r="AH192" s="3"/>
      <x:c r="AI192" s="3"/>
      <x:c r="AJ192" s="9" t="str">
        <x:f>IF(A192="","",A192&amp;"|"&amp;B192)</x:f>
      </x:c>
      <x:c r="AK192" s="9" t="str">
        <x:f>IF(A192="",IF(B192="","","MISSING_TEST_ID"),IF(B192="","MISSING_RUN_ID",IF(COUNTIFS($A$2:$A$501,A192,$B$2:$B$501,B192)&lt;&gt;1,"DUPLICATE_ID","OK")))</x:f>
      </x:c>
      <x:c r="AL192" s="9" t="str">
        <x:f>IF(A192="","",IF(AND(AK192="OK",J192="READY",F192&lt;&gt;"",G192&lt;&gt;"",K192&lt;&gt;"",OR(L192="PASS",L192="FAIL"),M192&lt;&gt;"",P192="social-publication-v2"),"YES","NO"))</x:f>
      </x:c>
      <x:c r="AM192" s="9" t="str">
        <x:f>IF(A192="","",IF(AND(AK192="OK",J192="READY",F192&lt;&gt;"",G192&lt;&gt;"",K192&lt;&gt;"",S192="OK",OR(R192="PASS",R192="FAIL")),"YES","NO"))</x:f>
      </x:c>
      <x:c r="AN192" s="9" t="str">
        <x:f>IF(A192="","",F192&amp;" | "&amp;G192&amp;" | "&amp;H192&amp;" | "&amp;I192)</x:f>
      </x:c>
    </x:row>
    <x:row r="193" ht="33" customHeight="1">
      <x:c r="A193" s="3"/>
      <x:c r="B193" s="3"/>
      <x:c r="C193" s="3"/>
      <x:c r="D193" s="3"/>
      <x:c r="E193" s="3"/>
      <x:c r="F193" s="3"/>
      <x:c r="G193" s="3"/>
      <x:c r="H193" s="3"/>
      <x:c r="I193" s="3"/>
      <x:c r="J193" s="3"/>
      <x:c r="K193" s="3"/>
      <x:c r="L193" s="6"/>
      <x:c r="M193" s="6"/>
      <x:c r="N193" s="6"/>
      <x:c r="O193" s="6"/>
      <x:c r="P193" s="6"/>
      <x:c r="Q193" s="7"/>
      <x:c r="R193" s="7"/>
      <x:c r="S193" s="7"/>
      <x:c r="T193" s="7"/>
      <x:c r="U193" s="7"/>
      <x:c r="V193" s="7"/>
      <x:c r="W193" s="7"/>
      <x:c r="X193" s="7"/>
      <x:c r="Y193" s="7"/>
      <x:c r="Z193" s="7"/>
      <x:c r="AA193" s="7"/>
      <x:c r="AB193" s="7"/>
      <x:c r="AC193" s="7"/>
      <x:c r="AD193" s="7"/>
      <x:c r="AE193" s="3"/>
      <x:c r="AF193" s="3"/>
      <x:c r="AG193" s="3"/>
      <x:c r="AH193" s="3"/>
      <x:c r="AI193" s="3"/>
      <x:c r="AJ193" s="9" t="str">
        <x:f>IF(A193="","",A193&amp;"|"&amp;B193)</x:f>
      </x:c>
      <x:c r="AK193" s="9" t="str">
        <x:f>IF(A193="",IF(B193="","","MISSING_TEST_ID"),IF(B193="","MISSING_RUN_ID",IF(COUNTIFS($A$2:$A$501,A193,$B$2:$B$501,B193)&lt;&gt;1,"DUPLICATE_ID","OK")))</x:f>
      </x:c>
      <x:c r="AL193" s="9" t="str">
        <x:f>IF(A193="","",IF(AND(AK193="OK",J193="READY",F193&lt;&gt;"",G193&lt;&gt;"",K193&lt;&gt;"",OR(L193="PASS",L193="FAIL"),M193&lt;&gt;"",P193="social-publication-v2"),"YES","NO"))</x:f>
      </x:c>
      <x:c r="AM193" s="9" t="str">
        <x:f>IF(A193="","",IF(AND(AK193="OK",J193="READY",F193&lt;&gt;"",G193&lt;&gt;"",K193&lt;&gt;"",S193="OK",OR(R193="PASS",R193="FAIL")),"YES","NO"))</x:f>
      </x:c>
      <x:c r="AN193" s="9" t="str">
        <x:f>IF(A193="","",F193&amp;" | "&amp;G193&amp;" | "&amp;H193&amp;" | "&amp;I193)</x:f>
      </x:c>
    </x:row>
    <x:row r="194" ht="33" customHeight="1">
      <x:c r="A194" s="3"/>
      <x:c r="B194" s="3"/>
      <x:c r="C194" s="3"/>
      <x:c r="D194" s="3"/>
      <x:c r="E194" s="3"/>
      <x:c r="F194" s="3"/>
      <x:c r="G194" s="3"/>
      <x:c r="H194" s="3"/>
      <x:c r="I194" s="3"/>
      <x:c r="J194" s="3"/>
      <x:c r="K194" s="3"/>
      <x:c r="L194" s="6"/>
      <x:c r="M194" s="6"/>
      <x:c r="N194" s="6"/>
      <x:c r="O194" s="6"/>
      <x:c r="P194" s="6"/>
      <x:c r="Q194" s="7"/>
      <x:c r="R194" s="7"/>
      <x:c r="S194" s="7"/>
      <x:c r="T194" s="7"/>
      <x:c r="U194" s="7"/>
      <x:c r="V194" s="7"/>
      <x:c r="W194" s="7"/>
      <x:c r="X194" s="7"/>
      <x:c r="Y194" s="7"/>
      <x:c r="Z194" s="7"/>
      <x:c r="AA194" s="7"/>
      <x:c r="AB194" s="7"/>
      <x:c r="AC194" s="7"/>
      <x:c r="AD194" s="7"/>
      <x:c r="AE194" s="3"/>
      <x:c r="AF194" s="3"/>
      <x:c r="AG194" s="3"/>
      <x:c r="AH194" s="3"/>
      <x:c r="AI194" s="3"/>
      <x:c r="AJ194" s="9" t="str">
        <x:f>IF(A194="","",A194&amp;"|"&amp;B194)</x:f>
      </x:c>
      <x:c r="AK194" s="9" t="str">
        <x:f>IF(A194="",IF(B194="","","MISSING_TEST_ID"),IF(B194="","MISSING_RUN_ID",IF(COUNTIFS($A$2:$A$501,A194,$B$2:$B$501,B194)&lt;&gt;1,"DUPLICATE_ID","OK")))</x:f>
      </x:c>
      <x:c r="AL194" s="9" t="str">
        <x:f>IF(A194="","",IF(AND(AK194="OK",J194="READY",F194&lt;&gt;"",G194&lt;&gt;"",K194&lt;&gt;"",OR(L194="PASS",L194="FAIL"),M194&lt;&gt;"",P194="social-publication-v2"),"YES","NO"))</x:f>
      </x:c>
      <x:c r="AM194" s="9" t="str">
        <x:f>IF(A194="","",IF(AND(AK194="OK",J194="READY",F194&lt;&gt;"",G194&lt;&gt;"",K194&lt;&gt;"",S194="OK",OR(R194="PASS",R194="FAIL")),"YES","NO"))</x:f>
      </x:c>
      <x:c r="AN194" s="9" t="str">
        <x:f>IF(A194="","",F194&amp;" | "&amp;G194&amp;" | "&amp;H194&amp;" | "&amp;I194)</x:f>
      </x:c>
    </x:row>
    <x:row r="195" ht="33" customHeight="1">
      <x:c r="A195" s="3"/>
      <x:c r="B195" s="3"/>
      <x:c r="C195" s="3"/>
      <x:c r="D195" s="3"/>
      <x:c r="E195" s="3"/>
      <x:c r="F195" s="3"/>
      <x:c r="G195" s="3"/>
      <x:c r="H195" s="3"/>
      <x:c r="I195" s="3"/>
      <x:c r="J195" s="3"/>
      <x:c r="K195" s="3"/>
      <x:c r="L195" s="6"/>
      <x:c r="M195" s="6"/>
      <x:c r="N195" s="6"/>
      <x:c r="O195" s="6"/>
      <x:c r="P195" s="6"/>
      <x:c r="Q195" s="7"/>
      <x:c r="R195" s="7"/>
      <x:c r="S195" s="7"/>
      <x:c r="T195" s="7"/>
      <x:c r="U195" s="7"/>
      <x:c r="V195" s="7"/>
      <x:c r="W195" s="7"/>
      <x:c r="X195" s="7"/>
      <x:c r="Y195" s="7"/>
      <x:c r="Z195" s="7"/>
      <x:c r="AA195" s="7"/>
      <x:c r="AB195" s="7"/>
      <x:c r="AC195" s="7"/>
      <x:c r="AD195" s="7"/>
      <x:c r="AE195" s="3"/>
      <x:c r="AF195" s="3"/>
      <x:c r="AG195" s="3"/>
      <x:c r="AH195" s="3"/>
      <x:c r="AI195" s="3"/>
      <x:c r="AJ195" s="9" t="str">
        <x:f>IF(A195="","",A195&amp;"|"&amp;B195)</x:f>
      </x:c>
      <x:c r="AK195" s="9" t="str">
        <x:f>IF(A195="",IF(B195="","","MISSING_TEST_ID"),IF(B195="","MISSING_RUN_ID",IF(COUNTIFS($A$2:$A$501,A195,$B$2:$B$501,B195)&lt;&gt;1,"DUPLICATE_ID","OK")))</x:f>
      </x:c>
      <x:c r="AL195" s="9" t="str">
        <x:f>IF(A195="","",IF(AND(AK195="OK",J195="READY",F195&lt;&gt;"",G195&lt;&gt;"",K195&lt;&gt;"",OR(L195="PASS",L195="FAIL"),M195&lt;&gt;"",P195="social-publication-v2"),"YES","NO"))</x:f>
      </x:c>
      <x:c r="AM195" s="9" t="str">
        <x:f>IF(A195="","",IF(AND(AK195="OK",J195="READY",F195&lt;&gt;"",G195&lt;&gt;"",K195&lt;&gt;"",S195="OK",OR(R195="PASS",R195="FAIL")),"YES","NO"))</x:f>
      </x:c>
      <x:c r="AN195" s="9" t="str">
        <x:f>IF(A195="","",F195&amp;" | "&amp;G195&amp;" | "&amp;H195&amp;" | "&amp;I195)</x:f>
      </x:c>
    </x:row>
    <x:row r="196" ht="33" customHeight="1">
      <x:c r="A196" s="3"/>
      <x:c r="B196" s="3"/>
      <x:c r="C196" s="3"/>
      <x:c r="D196" s="3"/>
      <x:c r="E196" s="3"/>
      <x:c r="F196" s="3"/>
      <x:c r="G196" s="3"/>
      <x:c r="H196" s="3"/>
      <x:c r="I196" s="3"/>
      <x:c r="J196" s="3"/>
      <x:c r="K196" s="3"/>
      <x:c r="L196" s="6"/>
      <x:c r="M196" s="6"/>
      <x:c r="N196" s="6"/>
      <x:c r="O196" s="6"/>
      <x:c r="P196" s="6"/>
      <x:c r="Q196" s="7"/>
      <x:c r="R196" s="7"/>
      <x:c r="S196" s="7"/>
      <x:c r="T196" s="7"/>
      <x:c r="U196" s="7"/>
      <x:c r="V196" s="7"/>
      <x:c r="W196" s="7"/>
      <x:c r="X196" s="7"/>
      <x:c r="Y196" s="7"/>
      <x:c r="Z196" s="7"/>
      <x:c r="AA196" s="7"/>
      <x:c r="AB196" s="7"/>
      <x:c r="AC196" s="7"/>
      <x:c r="AD196" s="7"/>
      <x:c r="AE196" s="3"/>
      <x:c r="AF196" s="3"/>
      <x:c r="AG196" s="3"/>
      <x:c r="AH196" s="3"/>
      <x:c r="AI196" s="3"/>
      <x:c r="AJ196" s="9" t="str">
        <x:f>IF(A196="","",A196&amp;"|"&amp;B196)</x:f>
      </x:c>
      <x:c r="AK196" s="9" t="str">
        <x:f>IF(A196="",IF(B196="","","MISSING_TEST_ID"),IF(B196="","MISSING_RUN_ID",IF(COUNTIFS($A$2:$A$501,A196,$B$2:$B$501,B196)&lt;&gt;1,"DUPLICATE_ID","OK")))</x:f>
      </x:c>
      <x:c r="AL196" s="9" t="str">
        <x:f>IF(A196="","",IF(AND(AK196="OK",J196="READY",F196&lt;&gt;"",G196&lt;&gt;"",K196&lt;&gt;"",OR(L196="PASS",L196="FAIL"),M196&lt;&gt;"",P196="social-publication-v2"),"YES","NO"))</x:f>
      </x:c>
      <x:c r="AM196" s="9" t="str">
        <x:f>IF(A196="","",IF(AND(AK196="OK",J196="READY",F196&lt;&gt;"",G196&lt;&gt;"",K196&lt;&gt;"",S196="OK",OR(R196="PASS",R196="FAIL")),"YES","NO"))</x:f>
      </x:c>
      <x:c r="AN196" s="9" t="str">
        <x:f>IF(A196="","",F196&amp;" | "&amp;G196&amp;" | "&amp;H196&amp;" | "&amp;I196)</x:f>
      </x:c>
    </x:row>
    <x:row r="197" ht="33" customHeight="1">
      <x:c r="A197" s="3"/>
      <x:c r="B197" s="3"/>
      <x:c r="C197" s="3"/>
      <x:c r="D197" s="3"/>
      <x:c r="E197" s="3"/>
      <x:c r="F197" s="3"/>
      <x:c r="G197" s="3"/>
      <x:c r="H197" s="3"/>
      <x:c r="I197" s="3"/>
      <x:c r="J197" s="3"/>
      <x:c r="K197" s="3"/>
      <x:c r="L197" s="6"/>
      <x:c r="M197" s="6"/>
      <x:c r="N197" s="6"/>
      <x:c r="O197" s="6"/>
      <x:c r="P197" s="6"/>
      <x:c r="Q197" s="7"/>
      <x:c r="R197" s="7"/>
      <x:c r="S197" s="7"/>
      <x:c r="T197" s="7"/>
      <x:c r="U197" s="7"/>
      <x:c r="V197" s="7"/>
      <x:c r="W197" s="7"/>
      <x:c r="X197" s="7"/>
      <x:c r="Y197" s="7"/>
      <x:c r="Z197" s="7"/>
      <x:c r="AA197" s="7"/>
      <x:c r="AB197" s="7"/>
      <x:c r="AC197" s="7"/>
      <x:c r="AD197" s="7"/>
      <x:c r="AE197" s="3"/>
      <x:c r="AF197" s="3"/>
      <x:c r="AG197" s="3"/>
      <x:c r="AH197" s="3"/>
      <x:c r="AI197" s="3"/>
      <x:c r="AJ197" s="9" t="str">
        <x:f>IF(A197="","",A197&amp;"|"&amp;B197)</x:f>
      </x:c>
      <x:c r="AK197" s="9" t="str">
        <x:f>IF(A197="",IF(B197="","","MISSING_TEST_ID"),IF(B197="","MISSING_RUN_ID",IF(COUNTIFS($A$2:$A$501,A197,$B$2:$B$501,B197)&lt;&gt;1,"DUPLICATE_ID","OK")))</x:f>
      </x:c>
      <x:c r="AL197" s="9" t="str">
        <x:f>IF(A197="","",IF(AND(AK197="OK",J197="READY",F197&lt;&gt;"",G197&lt;&gt;"",K197&lt;&gt;"",OR(L197="PASS",L197="FAIL"),M197&lt;&gt;"",P197="social-publication-v2"),"YES","NO"))</x:f>
      </x:c>
      <x:c r="AM197" s="9" t="str">
        <x:f>IF(A197="","",IF(AND(AK197="OK",J197="READY",F197&lt;&gt;"",G197&lt;&gt;"",K197&lt;&gt;"",S197="OK",OR(R197="PASS",R197="FAIL")),"YES","NO"))</x:f>
      </x:c>
      <x:c r="AN197" s="9" t="str">
        <x:f>IF(A197="","",F197&amp;" | "&amp;G197&amp;" | "&amp;H197&amp;" | "&amp;I197)</x:f>
      </x:c>
    </x:row>
    <x:row r="198" ht="33" customHeight="1">
      <x:c r="A198" s="3"/>
      <x:c r="B198" s="3"/>
      <x:c r="C198" s="3"/>
      <x:c r="D198" s="3"/>
      <x:c r="E198" s="3"/>
      <x:c r="F198" s="3"/>
      <x:c r="G198" s="3"/>
      <x:c r="H198" s="3"/>
      <x:c r="I198" s="3"/>
      <x:c r="J198" s="3"/>
      <x:c r="K198" s="3"/>
      <x:c r="L198" s="6"/>
      <x:c r="M198" s="6"/>
      <x:c r="N198" s="6"/>
      <x:c r="O198" s="6"/>
      <x:c r="P198" s="6"/>
      <x:c r="Q198" s="7"/>
      <x:c r="R198" s="7"/>
      <x:c r="S198" s="7"/>
      <x:c r="T198" s="7"/>
      <x:c r="U198" s="7"/>
      <x:c r="V198" s="7"/>
      <x:c r="W198" s="7"/>
      <x:c r="X198" s="7"/>
      <x:c r="Y198" s="7"/>
      <x:c r="Z198" s="7"/>
      <x:c r="AA198" s="7"/>
      <x:c r="AB198" s="7"/>
      <x:c r="AC198" s="7"/>
      <x:c r="AD198" s="7"/>
      <x:c r="AE198" s="3"/>
      <x:c r="AF198" s="3"/>
      <x:c r="AG198" s="3"/>
      <x:c r="AH198" s="3"/>
      <x:c r="AI198" s="3"/>
      <x:c r="AJ198" s="9" t="str">
        <x:f>IF(A198="","",A198&amp;"|"&amp;B198)</x:f>
      </x:c>
      <x:c r="AK198" s="9" t="str">
        <x:f>IF(A198="",IF(B198="","","MISSING_TEST_ID"),IF(B198="","MISSING_RUN_ID",IF(COUNTIFS($A$2:$A$501,A198,$B$2:$B$501,B198)&lt;&gt;1,"DUPLICATE_ID","OK")))</x:f>
      </x:c>
      <x:c r="AL198" s="9" t="str">
        <x:f>IF(A198="","",IF(AND(AK198="OK",J198="READY",F198&lt;&gt;"",G198&lt;&gt;"",K198&lt;&gt;"",OR(L198="PASS",L198="FAIL"),M198&lt;&gt;"",P198="social-publication-v2"),"YES","NO"))</x:f>
      </x:c>
      <x:c r="AM198" s="9" t="str">
        <x:f>IF(A198="","",IF(AND(AK198="OK",J198="READY",F198&lt;&gt;"",G198&lt;&gt;"",K198&lt;&gt;"",S198="OK",OR(R198="PASS",R198="FAIL")),"YES","NO"))</x:f>
      </x:c>
      <x:c r="AN198" s="9" t="str">
        <x:f>IF(A198="","",F198&amp;" | "&amp;G198&amp;" | "&amp;H198&amp;" | "&amp;I198)</x:f>
      </x:c>
    </x:row>
    <x:row r="199" ht="33" customHeight="1">
      <x:c r="A199" s="3"/>
      <x:c r="B199" s="3"/>
      <x:c r="C199" s="3"/>
      <x:c r="D199" s="3"/>
      <x:c r="E199" s="3"/>
      <x:c r="F199" s="3"/>
      <x:c r="G199" s="3"/>
      <x:c r="H199" s="3"/>
      <x:c r="I199" s="3"/>
      <x:c r="J199" s="3"/>
      <x:c r="K199" s="3"/>
      <x:c r="L199" s="6"/>
      <x:c r="M199" s="6"/>
      <x:c r="N199" s="6"/>
      <x:c r="O199" s="6"/>
      <x:c r="P199" s="6"/>
      <x:c r="Q199" s="7"/>
      <x:c r="R199" s="7"/>
      <x:c r="S199" s="7"/>
      <x:c r="T199" s="7"/>
      <x:c r="U199" s="7"/>
      <x:c r="V199" s="7"/>
      <x:c r="W199" s="7"/>
      <x:c r="X199" s="7"/>
      <x:c r="Y199" s="7"/>
      <x:c r="Z199" s="7"/>
      <x:c r="AA199" s="7"/>
      <x:c r="AB199" s="7"/>
      <x:c r="AC199" s="7"/>
      <x:c r="AD199" s="7"/>
      <x:c r="AE199" s="3"/>
      <x:c r="AF199" s="3"/>
      <x:c r="AG199" s="3"/>
      <x:c r="AH199" s="3"/>
      <x:c r="AI199" s="3"/>
      <x:c r="AJ199" s="9" t="str">
        <x:f>IF(A199="","",A199&amp;"|"&amp;B199)</x:f>
      </x:c>
      <x:c r="AK199" s="9" t="str">
        <x:f>IF(A199="",IF(B199="","","MISSING_TEST_ID"),IF(B199="","MISSING_RUN_ID",IF(COUNTIFS($A$2:$A$501,A199,$B$2:$B$501,B199)&lt;&gt;1,"DUPLICATE_ID","OK")))</x:f>
      </x:c>
      <x:c r="AL199" s="9" t="str">
        <x:f>IF(A199="","",IF(AND(AK199="OK",J199="READY",F199&lt;&gt;"",G199&lt;&gt;"",K199&lt;&gt;"",OR(L199="PASS",L199="FAIL"),M199&lt;&gt;"",P199="social-publication-v2"),"YES","NO"))</x:f>
      </x:c>
      <x:c r="AM199" s="9" t="str">
        <x:f>IF(A199="","",IF(AND(AK199="OK",J199="READY",F199&lt;&gt;"",G199&lt;&gt;"",K199&lt;&gt;"",S199="OK",OR(R199="PASS",R199="FAIL")),"YES","NO"))</x:f>
      </x:c>
      <x:c r="AN199" s="9" t="str">
        <x:f>IF(A199="","",F199&amp;" | "&amp;G199&amp;" | "&amp;H199&amp;" | "&amp;I199)</x:f>
      </x:c>
    </x:row>
    <x:row r="200" ht="33" customHeight="1">
      <x:c r="A200" s="3"/>
      <x:c r="B200" s="3"/>
      <x:c r="C200" s="3"/>
      <x:c r="D200" s="3"/>
      <x:c r="E200" s="3"/>
      <x:c r="F200" s="3"/>
      <x:c r="G200" s="3"/>
      <x:c r="H200" s="3"/>
      <x:c r="I200" s="3"/>
      <x:c r="J200" s="3"/>
      <x:c r="K200" s="3"/>
      <x:c r="L200" s="6"/>
      <x:c r="M200" s="6"/>
      <x:c r="N200" s="6"/>
      <x:c r="O200" s="6"/>
      <x:c r="P200" s="6"/>
      <x:c r="Q200" s="7"/>
      <x:c r="R200" s="7"/>
      <x:c r="S200" s="7"/>
      <x:c r="T200" s="7"/>
      <x:c r="U200" s="7"/>
      <x:c r="V200" s="7"/>
      <x:c r="W200" s="7"/>
      <x:c r="X200" s="7"/>
      <x:c r="Y200" s="7"/>
      <x:c r="Z200" s="7"/>
      <x:c r="AA200" s="7"/>
      <x:c r="AB200" s="7"/>
      <x:c r="AC200" s="7"/>
      <x:c r="AD200" s="7"/>
      <x:c r="AE200" s="3"/>
      <x:c r="AF200" s="3"/>
      <x:c r="AG200" s="3"/>
      <x:c r="AH200" s="3"/>
      <x:c r="AI200" s="3"/>
      <x:c r="AJ200" s="9" t="str">
        <x:f>IF(A200="","",A200&amp;"|"&amp;B200)</x:f>
      </x:c>
      <x:c r="AK200" s="9" t="str">
        <x:f>IF(A200="",IF(B200="","","MISSING_TEST_ID"),IF(B200="","MISSING_RUN_ID",IF(COUNTIFS($A$2:$A$501,A200,$B$2:$B$501,B200)&lt;&gt;1,"DUPLICATE_ID","OK")))</x:f>
      </x:c>
      <x:c r="AL200" s="9" t="str">
        <x:f>IF(A200="","",IF(AND(AK200="OK",J200="READY",F200&lt;&gt;"",G200&lt;&gt;"",K200&lt;&gt;"",OR(L200="PASS",L200="FAIL"),M200&lt;&gt;"",P200="social-publication-v2"),"YES","NO"))</x:f>
      </x:c>
      <x:c r="AM200" s="9" t="str">
        <x:f>IF(A200="","",IF(AND(AK200="OK",J200="READY",F200&lt;&gt;"",G200&lt;&gt;"",K200&lt;&gt;"",S200="OK",OR(R200="PASS",R200="FAIL")),"YES","NO"))</x:f>
      </x:c>
      <x:c r="AN200" s="9" t="str">
        <x:f>IF(A200="","",F200&amp;" | "&amp;G200&amp;" | "&amp;H200&amp;" | "&amp;I200)</x:f>
      </x:c>
    </x:row>
    <x:row r="201" ht="33" customHeight="1">
      <x:c r="A201" s="3"/>
      <x:c r="B201" s="3"/>
      <x:c r="C201" s="3"/>
      <x:c r="D201" s="3"/>
      <x:c r="E201" s="3"/>
      <x:c r="F201" s="3"/>
      <x:c r="G201" s="3"/>
      <x:c r="H201" s="3"/>
      <x:c r="I201" s="3"/>
      <x:c r="J201" s="3"/>
      <x:c r="K201" s="3"/>
      <x:c r="L201" s="6"/>
      <x:c r="M201" s="6"/>
      <x:c r="N201" s="6"/>
      <x:c r="O201" s="6"/>
      <x:c r="P201" s="6"/>
      <x:c r="Q201" s="7"/>
      <x:c r="R201" s="7"/>
      <x:c r="S201" s="7"/>
      <x:c r="T201" s="7"/>
      <x:c r="U201" s="7"/>
      <x:c r="V201" s="7"/>
      <x:c r="W201" s="7"/>
      <x:c r="X201" s="7"/>
      <x:c r="Y201" s="7"/>
      <x:c r="Z201" s="7"/>
      <x:c r="AA201" s="7"/>
      <x:c r="AB201" s="7"/>
      <x:c r="AC201" s="7"/>
      <x:c r="AD201" s="7"/>
      <x:c r="AE201" s="3"/>
      <x:c r="AF201" s="3"/>
      <x:c r="AG201" s="3"/>
      <x:c r="AH201" s="3"/>
      <x:c r="AI201" s="3"/>
      <x:c r="AJ201" s="9" t="str">
        <x:f>IF(A201="","",A201&amp;"|"&amp;B201)</x:f>
      </x:c>
      <x:c r="AK201" s="9" t="str">
        <x:f>IF(A201="",IF(B201="","","MISSING_TEST_ID"),IF(B201="","MISSING_RUN_ID",IF(COUNTIFS($A$2:$A$501,A201,$B$2:$B$501,B201)&lt;&gt;1,"DUPLICATE_ID","OK")))</x:f>
      </x:c>
      <x:c r="AL201" s="9" t="str">
        <x:f>IF(A201="","",IF(AND(AK201="OK",J201="READY",F201&lt;&gt;"",G201&lt;&gt;"",K201&lt;&gt;"",OR(L201="PASS",L201="FAIL"),M201&lt;&gt;"",P201="social-publication-v2"),"YES","NO"))</x:f>
      </x:c>
      <x:c r="AM201" s="9" t="str">
        <x:f>IF(A201="","",IF(AND(AK201="OK",J201="READY",F201&lt;&gt;"",G201&lt;&gt;"",K201&lt;&gt;"",S201="OK",OR(R201="PASS",R201="FAIL")),"YES","NO"))</x:f>
      </x:c>
      <x:c r="AN201" s="9" t="str">
        <x:f>IF(A201="","",F201&amp;" | "&amp;G201&amp;" | "&amp;H201&amp;" | "&amp;I201)</x:f>
      </x:c>
    </x:row>
    <x:row r="202" ht="33" customHeight="1">
      <x:c r="A202" s="3"/>
      <x:c r="B202" s="3"/>
      <x:c r="C202" s="3"/>
      <x:c r="D202" s="3"/>
      <x:c r="E202" s="3"/>
      <x:c r="F202" s="3"/>
      <x:c r="G202" s="3"/>
      <x:c r="H202" s="3"/>
      <x:c r="I202" s="3"/>
      <x:c r="J202" s="3"/>
      <x:c r="K202" s="3"/>
      <x:c r="L202" s="6"/>
      <x:c r="M202" s="6"/>
      <x:c r="N202" s="6"/>
      <x:c r="O202" s="6"/>
      <x:c r="P202" s="6"/>
      <x:c r="Q202" s="7"/>
      <x:c r="R202" s="7"/>
      <x:c r="S202" s="7"/>
      <x:c r="T202" s="7"/>
      <x:c r="U202" s="7"/>
      <x:c r="V202" s="7"/>
      <x:c r="W202" s="7"/>
      <x:c r="X202" s="7"/>
      <x:c r="Y202" s="7"/>
      <x:c r="Z202" s="7"/>
      <x:c r="AA202" s="7"/>
      <x:c r="AB202" s="7"/>
      <x:c r="AC202" s="7"/>
      <x:c r="AD202" s="7"/>
      <x:c r="AE202" s="3"/>
      <x:c r="AF202" s="3"/>
      <x:c r="AG202" s="3"/>
      <x:c r="AH202" s="3"/>
      <x:c r="AI202" s="3"/>
      <x:c r="AJ202" s="9" t="str">
        <x:f>IF(A202="","",A202&amp;"|"&amp;B202)</x:f>
      </x:c>
      <x:c r="AK202" s="9" t="str">
        <x:f>IF(A202="",IF(B202="","","MISSING_TEST_ID"),IF(B202="","MISSING_RUN_ID",IF(COUNTIFS($A$2:$A$501,A202,$B$2:$B$501,B202)&lt;&gt;1,"DUPLICATE_ID","OK")))</x:f>
      </x:c>
      <x:c r="AL202" s="9" t="str">
        <x:f>IF(A202="","",IF(AND(AK202="OK",J202="READY",F202&lt;&gt;"",G202&lt;&gt;"",K202&lt;&gt;"",OR(L202="PASS",L202="FAIL"),M202&lt;&gt;"",P202="social-publication-v2"),"YES","NO"))</x:f>
      </x:c>
      <x:c r="AM202" s="9" t="str">
        <x:f>IF(A202="","",IF(AND(AK202="OK",J202="READY",F202&lt;&gt;"",G202&lt;&gt;"",K202&lt;&gt;"",S202="OK",OR(R202="PASS",R202="FAIL")),"YES","NO"))</x:f>
      </x:c>
      <x:c r="AN202" s="9" t="str">
        <x:f>IF(A202="","",F202&amp;" | "&amp;G202&amp;" | "&amp;H202&amp;" | "&amp;I202)</x:f>
      </x:c>
    </x:row>
    <x:row r="203" ht="33" customHeight="1">
      <x:c r="A203" s="3"/>
      <x:c r="B203" s="3"/>
      <x:c r="C203" s="3"/>
      <x:c r="D203" s="3"/>
      <x:c r="E203" s="3"/>
      <x:c r="F203" s="3"/>
      <x:c r="G203" s="3"/>
      <x:c r="H203" s="3"/>
      <x:c r="I203" s="3"/>
      <x:c r="J203" s="3"/>
      <x:c r="K203" s="3"/>
      <x:c r="L203" s="6"/>
      <x:c r="M203" s="6"/>
      <x:c r="N203" s="6"/>
      <x:c r="O203" s="6"/>
      <x:c r="P203" s="6"/>
      <x:c r="Q203" s="7"/>
      <x:c r="R203" s="7"/>
      <x:c r="S203" s="7"/>
      <x:c r="T203" s="7"/>
      <x:c r="U203" s="7"/>
      <x:c r="V203" s="7"/>
      <x:c r="W203" s="7"/>
      <x:c r="X203" s="7"/>
      <x:c r="Y203" s="7"/>
      <x:c r="Z203" s="7"/>
      <x:c r="AA203" s="7"/>
      <x:c r="AB203" s="7"/>
      <x:c r="AC203" s="7"/>
      <x:c r="AD203" s="7"/>
      <x:c r="AE203" s="3"/>
      <x:c r="AF203" s="3"/>
      <x:c r="AG203" s="3"/>
      <x:c r="AH203" s="3"/>
      <x:c r="AI203" s="3"/>
      <x:c r="AJ203" s="9" t="str">
        <x:f>IF(A203="","",A203&amp;"|"&amp;B203)</x:f>
      </x:c>
      <x:c r="AK203" s="9" t="str">
        <x:f>IF(A203="",IF(B203="","","MISSING_TEST_ID"),IF(B203="","MISSING_RUN_ID",IF(COUNTIFS($A$2:$A$501,A203,$B$2:$B$501,B203)&lt;&gt;1,"DUPLICATE_ID","OK")))</x:f>
      </x:c>
      <x:c r="AL203" s="9" t="str">
        <x:f>IF(A203="","",IF(AND(AK203="OK",J203="READY",F203&lt;&gt;"",G203&lt;&gt;"",K203&lt;&gt;"",OR(L203="PASS",L203="FAIL"),M203&lt;&gt;"",P203="social-publication-v2"),"YES","NO"))</x:f>
      </x:c>
      <x:c r="AM203" s="9" t="str">
        <x:f>IF(A203="","",IF(AND(AK203="OK",J203="READY",F203&lt;&gt;"",G203&lt;&gt;"",K203&lt;&gt;"",S203="OK",OR(R203="PASS",R203="FAIL")),"YES","NO"))</x:f>
      </x:c>
      <x:c r="AN203" s="9" t="str">
        <x:f>IF(A203="","",F203&amp;" | "&amp;G203&amp;" | "&amp;H203&amp;" | "&amp;I203)</x:f>
      </x:c>
    </x:row>
    <x:row r="204" ht="33" customHeight="1">
      <x:c r="A204" s="3"/>
      <x:c r="B204" s="3"/>
      <x:c r="C204" s="3"/>
      <x:c r="D204" s="3"/>
      <x:c r="E204" s="3"/>
      <x:c r="F204" s="3"/>
      <x:c r="G204" s="3"/>
      <x:c r="H204" s="3"/>
      <x:c r="I204" s="3"/>
      <x:c r="J204" s="3"/>
      <x:c r="K204" s="3"/>
      <x:c r="L204" s="6"/>
      <x:c r="M204" s="6"/>
      <x:c r="N204" s="6"/>
      <x:c r="O204" s="6"/>
      <x:c r="P204" s="6"/>
      <x:c r="Q204" s="7"/>
      <x:c r="R204" s="7"/>
      <x:c r="S204" s="7"/>
      <x:c r="T204" s="7"/>
      <x:c r="U204" s="7"/>
      <x:c r="V204" s="7"/>
      <x:c r="W204" s="7"/>
      <x:c r="X204" s="7"/>
      <x:c r="Y204" s="7"/>
      <x:c r="Z204" s="7"/>
      <x:c r="AA204" s="7"/>
      <x:c r="AB204" s="7"/>
      <x:c r="AC204" s="7"/>
      <x:c r="AD204" s="7"/>
      <x:c r="AE204" s="3"/>
      <x:c r="AF204" s="3"/>
      <x:c r="AG204" s="3"/>
      <x:c r="AH204" s="3"/>
      <x:c r="AI204" s="3"/>
      <x:c r="AJ204" s="9" t="str">
        <x:f>IF(A204="","",A204&amp;"|"&amp;B204)</x:f>
      </x:c>
      <x:c r="AK204" s="9" t="str">
        <x:f>IF(A204="",IF(B204="","","MISSING_TEST_ID"),IF(B204="","MISSING_RUN_ID",IF(COUNTIFS($A$2:$A$501,A204,$B$2:$B$501,B204)&lt;&gt;1,"DUPLICATE_ID","OK")))</x:f>
      </x:c>
      <x:c r="AL204" s="9" t="str">
        <x:f>IF(A204="","",IF(AND(AK204="OK",J204="READY",F204&lt;&gt;"",G204&lt;&gt;"",K204&lt;&gt;"",OR(L204="PASS",L204="FAIL"),M204&lt;&gt;"",P204="social-publication-v2"),"YES","NO"))</x:f>
      </x:c>
      <x:c r="AM204" s="9" t="str">
        <x:f>IF(A204="","",IF(AND(AK204="OK",J204="READY",F204&lt;&gt;"",G204&lt;&gt;"",K204&lt;&gt;"",S204="OK",OR(R204="PASS",R204="FAIL")),"YES","NO"))</x:f>
      </x:c>
      <x:c r="AN204" s="9" t="str">
        <x:f>IF(A204="","",F204&amp;" | "&amp;G204&amp;" | "&amp;H204&amp;" | "&amp;I204)</x:f>
      </x:c>
    </x:row>
    <x:row r="205" ht="33" customHeight="1">
      <x:c r="A205" s="3"/>
      <x:c r="B205" s="3"/>
      <x:c r="C205" s="3"/>
      <x:c r="D205" s="3"/>
      <x:c r="E205" s="3"/>
      <x:c r="F205" s="3"/>
      <x:c r="G205" s="3"/>
      <x:c r="H205" s="3"/>
      <x:c r="I205" s="3"/>
      <x:c r="J205" s="3"/>
      <x:c r="K205" s="3"/>
      <x:c r="L205" s="6"/>
      <x:c r="M205" s="6"/>
      <x:c r="N205" s="6"/>
      <x:c r="O205" s="6"/>
      <x:c r="P205" s="6"/>
      <x:c r="Q205" s="7"/>
      <x:c r="R205" s="7"/>
      <x:c r="S205" s="7"/>
      <x:c r="T205" s="7"/>
      <x:c r="U205" s="7"/>
      <x:c r="V205" s="7"/>
      <x:c r="W205" s="7"/>
      <x:c r="X205" s="7"/>
      <x:c r="Y205" s="7"/>
      <x:c r="Z205" s="7"/>
      <x:c r="AA205" s="7"/>
      <x:c r="AB205" s="7"/>
      <x:c r="AC205" s="7"/>
      <x:c r="AD205" s="7"/>
      <x:c r="AE205" s="3"/>
      <x:c r="AF205" s="3"/>
      <x:c r="AG205" s="3"/>
      <x:c r="AH205" s="3"/>
      <x:c r="AI205" s="3"/>
      <x:c r="AJ205" s="9" t="str">
        <x:f>IF(A205="","",A205&amp;"|"&amp;B205)</x:f>
      </x:c>
      <x:c r="AK205" s="9" t="str">
        <x:f>IF(A205="",IF(B205="","","MISSING_TEST_ID"),IF(B205="","MISSING_RUN_ID",IF(COUNTIFS($A$2:$A$501,A205,$B$2:$B$501,B205)&lt;&gt;1,"DUPLICATE_ID","OK")))</x:f>
      </x:c>
      <x:c r="AL205" s="9" t="str">
        <x:f>IF(A205="","",IF(AND(AK205="OK",J205="READY",F205&lt;&gt;"",G205&lt;&gt;"",K205&lt;&gt;"",OR(L205="PASS",L205="FAIL"),M205&lt;&gt;"",P205="social-publication-v2"),"YES","NO"))</x:f>
      </x:c>
      <x:c r="AM205" s="9" t="str">
        <x:f>IF(A205="","",IF(AND(AK205="OK",J205="READY",F205&lt;&gt;"",G205&lt;&gt;"",K205&lt;&gt;"",S205="OK",OR(R205="PASS",R205="FAIL")),"YES","NO"))</x:f>
      </x:c>
      <x:c r="AN205" s="9" t="str">
        <x:f>IF(A205="","",F205&amp;" | "&amp;G205&amp;" | "&amp;H205&amp;" | "&amp;I205)</x:f>
      </x:c>
    </x:row>
    <x:row r="206" ht="33" customHeight="1">
      <x:c r="A206" s="3"/>
      <x:c r="B206" s="3"/>
      <x:c r="C206" s="3"/>
      <x:c r="D206" s="3"/>
      <x:c r="E206" s="3"/>
      <x:c r="F206" s="3"/>
      <x:c r="G206" s="3"/>
      <x:c r="H206" s="3"/>
      <x:c r="I206" s="3"/>
      <x:c r="J206" s="3"/>
      <x:c r="K206" s="3"/>
      <x:c r="L206" s="6"/>
      <x:c r="M206" s="6"/>
      <x:c r="N206" s="6"/>
      <x:c r="O206" s="6"/>
      <x:c r="P206" s="6"/>
      <x:c r="Q206" s="7"/>
      <x:c r="R206" s="7"/>
      <x:c r="S206" s="7"/>
      <x:c r="T206" s="7"/>
      <x:c r="U206" s="7"/>
      <x:c r="V206" s="7"/>
      <x:c r="W206" s="7"/>
      <x:c r="X206" s="7"/>
      <x:c r="Y206" s="7"/>
      <x:c r="Z206" s="7"/>
      <x:c r="AA206" s="7"/>
      <x:c r="AB206" s="7"/>
      <x:c r="AC206" s="7"/>
      <x:c r="AD206" s="7"/>
      <x:c r="AE206" s="3"/>
      <x:c r="AF206" s="3"/>
      <x:c r="AG206" s="3"/>
      <x:c r="AH206" s="3"/>
      <x:c r="AI206" s="3"/>
      <x:c r="AJ206" s="9" t="str">
        <x:f>IF(A206="","",A206&amp;"|"&amp;B206)</x:f>
      </x:c>
      <x:c r="AK206" s="9" t="str">
        <x:f>IF(A206="",IF(B206="","","MISSING_TEST_ID"),IF(B206="","MISSING_RUN_ID",IF(COUNTIFS($A$2:$A$501,A206,$B$2:$B$501,B206)&lt;&gt;1,"DUPLICATE_ID","OK")))</x:f>
      </x:c>
      <x:c r="AL206" s="9" t="str">
        <x:f>IF(A206="","",IF(AND(AK206="OK",J206="READY",F206&lt;&gt;"",G206&lt;&gt;"",K206&lt;&gt;"",OR(L206="PASS",L206="FAIL"),M206&lt;&gt;"",P206="social-publication-v2"),"YES","NO"))</x:f>
      </x:c>
      <x:c r="AM206" s="9" t="str">
        <x:f>IF(A206="","",IF(AND(AK206="OK",J206="READY",F206&lt;&gt;"",G206&lt;&gt;"",K206&lt;&gt;"",S206="OK",OR(R206="PASS",R206="FAIL")),"YES","NO"))</x:f>
      </x:c>
      <x:c r="AN206" s="9" t="str">
        <x:f>IF(A206="","",F206&amp;" | "&amp;G206&amp;" | "&amp;H206&amp;" | "&amp;I206)</x:f>
      </x:c>
    </x:row>
    <x:row r="207" ht="33" customHeight="1">
      <x:c r="A207" s="3"/>
      <x:c r="B207" s="3"/>
      <x:c r="C207" s="3"/>
      <x:c r="D207" s="3"/>
      <x:c r="E207" s="3"/>
      <x:c r="F207" s="3"/>
      <x:c r="G207" s="3"/>
      <x:c r="H207" s="3"/>
      <x:c r="I207" s="3"/>
      <x:c r="J207" s="3"/>
      <x:c r="K207" s="3"/>
      <x:c r="L207" s="6"/>
      <x:c r="M207" s="6"/>
      <x:c r="N207" s="6"/>
      <x:c r="O207" s="6"/>
      <x:c r="P207" s="6"/>
      <x:c r="Q207" s="7"/>
      <x:c r="R207" s="7"/>
      <x:c r="S207" s="7"/>
      <x:c r="T207" s="7"/>
      <x:c r="U207" s="7"/>
      <x:c r="V207" s="7"/>
      <x:c r="W207" s="7"/>
      <x:c r="X207" s="7"/>
      <x:c r="Y207" s="7"/>
      <x:c r="Z207" s="7"/>
      <x:c r="AA207" s="7"/>
      <x:c r="AB207" s="7"/>
      <x:c r="AC207" s="7"/>
      <x:c r="AD207" s="7"/>
      <x:c r="AE207" s="3"/>
      <x:c r="AF207" s="3"/>
      <x:c r="AG207" s="3"/>
      <x:c r="AH207" s="3"/>
      <x:c r="AI207" s="3"/>
      <x:c r="AJ207" s="9" t="str">
        <x:f>IF(A207="","",A207&amp;"|"&amp;B207)</x:f>
      </x:c>
      <x:c r="AK207" s="9" t="str">
        <x:f>IF(A207="",IF(B207="","","MISSING_TEST_ID"),IF(B207="","MISSING_RUN_ID",IF(COUNTIFS($A$2:$A$501,A207,$B$2:$B$501,B207)&lt;&gt;1,"DUPLICATE_ID","OK")))</x:f>
      </x:c>
      <x:c r="AL207" s="9" t="str">
        <x:f>IF(A207="","",IF(AND(AK207="OK",J207="READY",F207&lt;&gt;"",G207&lt;&gt;"",K207&lt;&gt;"",OR(L207="PASS",L207="FAIL"),M207&lt;&gt;"",P207="social-publication-v2"),"YES","NO"))</x:f>
      </x:c>
      <x:c r="AM207" s="9" t="str">
        <x:f>IF(A207="","",IF(AND(AK207="OK",J207="READY",F207&lt;&gt;"",G207&lt;&gt;"",K207&lt;&gt;"",S207="OK",OR(R207="PASS",R207="FAIL")),"YES","NO"))</x:f>
      </x:c>
      <x:c r="AN207" s="9" t="str">
        <x:f>IF(A207="","",F207&amp;" | "&amp;G207&amp;" | "&amp;H207&amp;" | "&amp;I207)</x:f>
      </x:c>
    </x:row>
    <x:row r="208" ht="33" customHeight="1">
      <x:c r="A208" s="3"/>
      <x:c r="B208" s="3"/>
      <x:c r="C208" s="3"/>
      <x:c r="D208" s="3"/>
      <x:c r="E208" s="3"/>
      <x:c r="F208" s="3"/>
      <x:c r="G208" s="3"/>
      <x:c r="H208" s="3"/>
      <x:c r="I208" s="3"/>
      <x:c r="J208" s="3"/>
      <x:c r="K208" s="3"/>
      <x:c r="L208" s="6"/>
      <x:c r="M208" s="6"/>
      <x:c r="N208" s="6"/>
      <x:c r="O208" s="6"/>
      <x:c r="P208" s="6"/>
      <x:c r="Q208" s="7"/>
      <x:c r="R208" s="7"/>
      <x:c r="S208" s="7"/>
      <x:c r="T208" s="7"/>
      <x:c r="U208" s="7"/>
      <x:c r="V208" s="7"/>
      <x:c r="W208" s="7"/>
      <x:c r="X208" s="7"/>
      <x:c r="Y208" s="7"/>
      <x:c r="Z208" s="7"/>
      <x:c r="AA208" s="7"/>
      <x:c r="AB208" s="7"/>
      <x:c r="AC208" s="7"/>
      <x:c r="AD208" s="7"/>
      <x:c r="AE208" s="3"/>
      <x:c r="AF208" s="3"/>
      <x:c r="AG208" s="3"/>
      <x:c r="AH208" s="3"/>
      <x:c r="AI208" s="3"/>
      <x:c r="AJ208" s="9" t="str">
        <x:f>IF(A208="","",A208&amp;"|"&amp;B208)</x:f>
      </x:c>
      <x:c r="AK208" s="9" t="str">
        <x:f>IF(A208="",IF(B208="","","MISSING_TEST_ID"),IF(B208="","MISSING_RUN_ID",IF(COUNTIFS($A$2:$A$501,A208,$B$2:$B$501,B208)&lt;&gt;1,"DUPLICATE_ID","OK")))</x:f>
      </x:c>
      <x:c r="AL208" s="9" t="str">
        <x:f>IF(A208="","",IF(AND(AK208="OK",J208="READY",F208&lt;&gt;"",G208&lt;&gt;"",K208&lt;&gt;"",OR(L208="PASS",L208="FAIL"),M208&lt;&gt;"",P208="social-publication-v2"),"YES","NO"))</x:f>
      </x:c>
      <x:c r="AM208" s="9" t="str">
        <x:f>IF(A208="","",IF(AND(AK208="OK",J208="READY",F208&lt;&gt;"",G208&lt;&gt;"",K208&lt;&gt;"",S208="OK",OR(R208="PASS",R208="FAIL")),"YES","NO"))</x:f>
      </x:c>
      <x:c r="AN208" s="9" t="str">
        <x:f>IF(A208="","",F208&amp;" | "&amp;G208&amp;" | "&amp;H208&amp;" | "&amp;I208)</x:f>
      </x:c>
    </x:row>
    <x:row r="209" ht="33" customHeight="1">
      <x:c r="A209" s="3"/>
      <x:c r="B209" s="3"/>
      <x:c r="C209" s="3"/>
      <x:c r="D209" s="3"/>
      <x:c r="E209" s="3"/>
      <x:c r="F209" s="3"/>
      <x:c r="G209" s="3"/>
      <x:c r="H209" s="3"/>
      <x:c r="I209" s="3"/>
      <x:c r="J209" s="3"/>
      <x:c r="K209" s="3"/>
      <x:c r="L209" s="6"/>
      <x:c r="M209" s="6"/>
      <x:c r="N209" s="6"/>
      <x:c r="O209" s="6"/>
      <x:c r="P209" s="6"/>
      <x:c r="Q209" s="7"/>
      <x:c r="R209" s="7"/>
      <x:c r="S209" s="7"/>
      <x:c r="T209" s="7"/>
      <x:c r="U209" s="7"/>
      <x:c r="V209" s="7"/>
      <x:c r="W209" s="7"/>
      <x:c r="X209" s="7"/>
      <x:c r="Y209" s="7"/>
      <x:c r="Z209" s="7"/>
      <x:c r="AA209" s="7"/>
      <x:c r="AB209" s="7"/>
      <x:c r="AC209" s="7"/>
      <x:c r="AD209" s="7"/>
      <x:c r="AE209" s="3"/>
      <x:c r="AF209" s="3"/>
      <x:c r="AG209" s="3"/>
      <x:c r="AH209" s="3"/>
      <x:c r="AI209" s="3"/>
      <x:c r="AJ209" s="9" t="str">
        <x:f>IF(A209="","",A209&amp;"|"&amp;B209)</x:f>
      </x:c>
      <x:c r="AK209" s="9" t="str">
        <x:f>IF(A209="",IF(B209="","","MISSING_TEST_ID"),IF(B209="","MISSING_RUN_ID",IF(COUNTIFS($A$2:$A$501,A209,$B$2:$B$501,B209)&lt;&gt;1,"DUPLICATE_ID","OK")))</x:f>
      </x:c>
      <x:c r="AL209" s="9" t="str">
        <x:f>IF(A209="","",IF(AND(AK209="OK",J209="READY",F209&lt;&gt;"",G209&lt;&gt;"",K209&lt;&gt;"",OR(L209="PASS",L209="FAIL"),M209&lt;&gt;"",P209="social-publication-v2"),"YES","NO"))</x:f>
      </x:c>
      <x:c r="AM209" s="9" t="str">
        <x:f>IF(A209="","",IF(AND(AK209="OK",J209="READY",F209&lt;&gt;"",G209&lt;&gt;"",K209&lt;&gt;"",S209="OK",OR(R209="PASS",R209="FAIL")),"YES","NO"))</x:f>
      </x:c>
      <x:c r="AN209" s="9" t="str">
        <x:f>IF(A209="","",F209&amp;" | "&amp;G209&amp;" | "&amp;H209&amp;" | "&amp;I209)</x:f>
      </x:c>
    </x:row>
    <x:row r="210" ht="33" customHeight="1">
      <x:c r="A210" s="3"/>
      <x:c r="B210" s="3"/>
      <x:c r="C210" s="3"/>
      <x:c r="D210" s="3"/>
      <x:c r="E210" s="3"/>
      <x:c r="F210" s="3"/>
      <x:c r="G210" s="3"/>
      <x:c r="H210" s="3"/>
      <x:c r="I210" s="3"/>
      <x:c r="J210" s="3"/>
      <x:c r="K210" s="3"/>
      <x:c r="L210" s="6"/>
      <x:c r="M210" s="6"/>
      <x:c r="N210" s="6"/>
      <x:c r="O210" s="6"/>
      <x:c r="P210" s="6"/>
      <x:c r="Q210" s="7"/>
      <x:c r="R210" s="7"/>
      <x:c r="S210" s="7"/>
      <x:c r="T210" s="7"/>
      <x:c r="U210" s="7"/>
      <x:c r="V210" s="7"/>
      <x:c r="W210" s="7"/>
      <x:c r="X210" s="7"/>
      <x:c r="Y210" s="7"/>
      <x:c r="Z210" s="7"/>
      <x:c r="AA210" s="7"/>
      <x:c r="AB210" s="7"/>
      <x:c r="AC210" s="7"/>
      <x:c r="AD210" s="7"/>
      <x:c r="AE210" s="3"/>
      <x:c r="AF210" s="3"/>
      <x:c r="AG210" s="3"/>
      <x:c r="AH210" s="3"/>
      <x:c r="AI210" s="3"/>
      <x:c r="AJ210" s="9" t="str">
        <x:f>IF(A210="","",A210&amp;"|"&amp;B210)</x:f>
      </x:c>
      <x:c r="AK210" s="9" t="str">
        <x:f>IF(A210="",IF(B210="","","MISSING_TEST_ID"),IF(B210="","MISSING_RUN_ID",IF(COUNTIFS($A$2:$A$501,A210,$B$2:$B$501,B210)&lt;&gt;1,"DUPLICATE_ID","OK")))</x:f>
      </x:c>
      <x:c r="AL210" s="9" t="str">
        <x:f>IF(A210="","",IF(AND(AK210="OK",J210="READY",F210&lt;&gt;"",G210&lt;&gt;"",K210&lt;&gt;"",OR(L210="PASS",L210="FAIL"),M210&lt;&gt;"",P210="social-publication-v2"),"YES","NO"))</x:f>
      </x:c>
      <x:c r="AM210" s="9" t="str">
        <x:f>IF(A210="","",IF(AND(AK210="OK",J210="READY",F210&lt;&gt;"",G210&lt;&gt;"",K210&lt;&gt;"",S210="OK",OR(R210="PASS",R210="FAIL")),"YES","NO"))</x:f>
      </x:c>
      <x:c r="AN210" s="9" t="str">
        <x:f>IF(A210="","",F210&amp;" | "&amp;G210&amp;" | "&amp;H210&amp;" | "&amp;I210)</x:f>
      </x:c>
    </x:row>
    <x:row r="211" ht="33" customHeight="1">
      <x:c r="A211" s="3"/>
      <x:c r="B211" s="3"/>
      <x:c r="C211" s="3"/>
      <x:c r="D211" s="3"/>
      <x:c r="E211" s="3"/>
      <x:c r="F211" s="3"/>
      <x:c r="G211" s="3"/>
      <x:c r="H211" s="3"/>
      <x:c r="I211" s="3"/>
      <x:c r="J211" s="3"/>
      <x:c r="K211" s="3"/>
      <x:c r="L211" s="6"/>
      <x:c r="M211" s="6"/>
      <x:c r="N211" s="6"/>
      <x:c r="O211" s="6"/>
      <x:c r="P211" s="6"/>
      <x:c r="Q211" s="7"/>
      <x:c r="R211" s="7"/>
      <x:c r="S211" s="7"/>
      <x:c r="T211" s="7"/>
      <x:c r="U211" s="7"/>
      <x:c r="V211" s="7"/>
      <x:c r="W211" s="7"/>
      <x:c r="X211" s="7"/>
      <x:c r="Y211" s="7"/>
      <x:c r="Z211" s="7"/>
      <x:c r="AA211" s="7"/>
      <x:c r="AB211" s="7"/>
      <x:c r="AC211" s="7"/>
      <x:c r="AD211" s="7"/>
      <x:c r="AE211" s="3"/>
      <x:c r="AF211" s="3"/>
      <x:c r="AG211" s="3"/>
      <x:c r="AH211" s="3"/>
      <x:c r="AI211" s="3"/>
      <x:c r="AJ211" s="9" t="str">
        <x:f>IF(A211="","",A211&amp;"|"&amp;B211)</x:f>
      </x:c>
      <x:c r="AK211" s="9" t="str">
        <x:f>IF(A211="",IF(B211="","","MISSING_TEST_ID"),IF(B211="","MISSING_RUN_ID",IF(COUNTIFS($A$2:$A$501,A211,$B$2:$B$501,B211)&lt;&gt;1,"DUPLICATE_ID","OK")))</x:f>
      </x:c>
      <x:c r="AL211" s="9" t="str">
        <x:f>IF(A211="","",IF(AND(AK211="OK",J211="READY",F211&lt;&gt;"",G211&lt;&gt;"",K211&lt;&gt;"",OR(L211="PASS",L211="FAIL"),M211&lt;&gt;"",P211="social-publication-v2"),"YES","NO"))</x:f>
      </x:c>
      <x:c r="AM211" s="9" t="str">
        <x:f>IF(A211="","",IF(AND(AK211="OK",J211="READY",F211&lt;&gt;"",G211&lt;&gt;"",K211&lt;&gt;"",S211="OK",OR(R211="PASS",R211="FAIL")),"YES","NO"))</x:f>
      </x:c>
      <x:c r="AN211" s="9" t="str">
        <x:f>IF(A211="","",F211&amp;" | "&amp;G211&amp;" | "&amp;H211&amp;" | "&amp;I211)</x:f>
      </x:c>
    </x:row>
    <x:row r="212" ht="33" customHeight="1">
      <x:c r="A212" s="3"/>
      <x:c r="B212" s="3"/>
      <x:c r="C212" s="3"/>
      <x:c r="D212" s="3"/>
      <x:c r="E212" s="3"/>
      <x:c r="F212" s="3"/>
      <x:c r="G212" s="3"/>
      <x:c r="H212" s="3"/>
      <x:c r="I212" s="3"/>
      <x:c r="J212" s="3"/>
      <x:c r="K212" s="3"/>
      <x:c r="L212" s="6"/>
      <x:c r="M212" s="6"/>
      <x:c r="N212" s="6"/>
      <x:c r="O212" s="6"/>
      <x:c r="P212" s="6"/>
      <x:c r="Q212" s="7"/>
      <x:c r="R212" s="7"/>
      <x:c r="S212" s="7"/>
      <x:c r="T212" s="7"/>
      <x:c r="U212" s="7"/>
      <x:c r="V212" s="7"/>
      <x:c r="W212" s="7"/>
      <x:c r="X212" s="7"/>
      <x:c r="Y212" s="7"/>
      <x:c r="Z212" s="7"/>
      <x:c r="AA212" s="7"/>
      <x:c r="AB212" s="7"/>
      <x:c r="AC212" s="7"/>
      <x:c r="AD212" s="7"/>
      <x:c r="AE212" s="3"/>
      <x:c r="AF212" s="3"/>
      <x:c r="AG212" s="3"/>
      <x:c r="AH212" s="3"/>
      <x:c r="AI212" s="3"/>
      <x:c r="AJ212" s="9" t="str">
        <x:f>IF(A212="","",A212&amp;"|"&amp;B212)</x:f>
      </x:c>
      <x:c r="AK212" s="9" t="str">
        <x:f>IF(A212="",IF(B212="","","MISSING_TEST_ID"),IF(B212="","MISSING_RUN_ID",IF(COUNTIFS($A$2:$A$501,A212,$B$2:$B$501,B212)&lt;&gt;1,"DUPLICATE_ID","OK")))</x:f>
      </x:c>
      <x:c r="AL212" s="9" t="str">
        <x:f>IF(A212="","",IF(AND(AK212="OK",J212="READY",F212&lt;&gt;"",G212&lt;&gt;"",K212&lt;&gt;"",OR(L212="PASS",L212="FAIL"),M212&lt;&gt;"",P212="social-publication-v2"),"YES","NO"))</x:f>
      </x:c>
      <x:c r="AM212" s="9" t="str">
        <x:f>IF(A212="","",IF(AND(AK212="OK",J212="READY",F212&lt;&gt;"",G212&lt;&gt;"",K212&lt;&gt;"",S212="OK",OR(R212="PASS",R212="FAIL")),"YES","NO"))</x:f>
      </x:c>
      <x:c r="AN212" s="9" t="str">
        <x:f>IF(A212="","",F212&amp;" | "&amp;G212&amp;" | "&amp;H212&amp;" | "&amp;I212)</x:f>
      </x:c>
    </x:row>
    <x:row r="213" ht="33" customHeight="1">
      <x:c r="A213" s="3"/>
      <x:c r="B213" s="3"/>
      <x:c r="C213" s="3"/>
      <x:c r="D213" s="3"/>
      <x:c r="E213" s="3"/>
      <x:c r="F213" s="3"/>
      <x:c r="G213" s="3"/>
      <x:c r="H213" s="3"/>
      <x:c r="I213" s="3"/>
      <x:c r="J213" s="3"/>
      <x:c r="K213" s="3"/>
      <x:c r="L213" s="6"/>
      <x:c r="M213" s="6"/>
      <x:c r="N213" s="6"/>
      <x:c r="O213" s="6"/>
      <x:c r="P213" s="6"/>
      <x:c r="Q213" s="7"/>
      <x:c r="R213" s="7"/>
      <x:c r="S213" s="7"/>
      <x:c r="T213" s="7"/>
      <x:c r="U213" s="7"/>
      <x:c r="V213" s="7"/>
      <x:c r="W213" s="7"/>
      <x:c r="X213" s="7"/>
      <x:c r="Y213" s="7"/>
      <x:c r="Z213" s="7"/>
      <x:c r="AA213" s="7"/>
      <x:c r="AB213" s="7"/>
      <x:c r="AC213" s="7"/>
      <x:c r="AD213" s="7"/>
      <x:c r="AE213" s="3"/>
      <x:c r="AF213" s="3"/>
      <x:c r="AG213" s="3"/>
      <x:c r="AH213" s="3"/>
      <x:c r="AI213" s="3"/>
      <x:c r="AJ213" s="9" t="str">
        <x:f>IF(A213="","",A213&amp;"|"&amp;B213)</x:f>
      </x:c>
      <x:c r="AK213" s="9" t="str">
        <x:f>IF(A213="",IF(B213="","","MISSING_TEST_ID"),IF(B213="","MISSING_RUN_ID",IF(COUNTIFS($A$2:$A$501,A213,$B$2:$B$501,B213)&lt;&gt;1,"DUPLICATE_ID","OK")))</x:f>
      </x:c>
      <x:c r="AL213" s="9" t="str">
        <x:f>IF(A213="","",IF(AND(AK213="OK",J213="READY",F213&lt;&gt;"",G213&lt;&gt;"",K213&lt;&gt;"",OR(L213="PASS",L213="FAIL"),M213&lt;&gt;"",P213="social-publication-v2"),"YES","NO"))</x:f>
      </x:c>
      <x:c r="AM213" s="9" t="str">
        <x:f>IF(A213="","",IF(AND(AK213="OK",J213="READY",F213&lt;&gt;"",G213&lt;&gt;"",K213&lt;&gt;"",S213="OK",OR(R213="PASS",R213="FAIL")),"YES","NO"))</x:f>
      </x:c>
      <x:c r="AN213" s="9" t="str">
        <x:f>IF(A213="","",F213&amp;" | "&amp;G213&amp;" | "&amp;H213&amp;" | "&amp;I213)</x:f>
      </x:c>
    </x:row>
    <x:row r="214" ht="33" customHeight="1">
      <x:c r="A214" s="3"/>
      <x:c r="B214" s="3"/>
      <x:c r="C214" s="3"/>
      <x:c r="D214" s="3"/>
      <x:c r="E214" s="3"/>
      <x:c r="F214" s="3"/>
      <x:c r="G214" s="3"/>
      <x:c r="H214" s="3"/>
      <x:c r="I214" s="3"/>
      <x:c r="J214" s="3"/>
      <x:c r="K214" s="3"/>
      <x:c r="L214" s="6"/>
      <x:c r="M214" s="6"/>
      <x:c r="N214" s="6"/>
      <x:c r="O214" s="6"/>
      <x:c r="P214" s="6"/>
      <x:c r="Q214" s="7"/>
      <x:c r="R214" s="7"/>
      <x:c r="S214" s="7"/>
      <x:c r="T214" s="7"/>
      <x:c r="U214" s="7"/>
      <x:c r="V214" s="7"/>
      <x:c r="W214" s="7"/>
      <x:c r="X214" s="7"/>
      <x:c r="Y214" s="7"/>
      <x:c r="Z214" s="7"/>
      <x:c r="AA214" s="7"/>
      <x:c r="AB214" s="7"/>
      <x:c r="AC214" s="7"/>
      <x:c r="AD214" s="7"/>
      <x:c r="AE214" s="3"/>
      <x:c r="AF214" s="3"/>
      <x:c r="AG214" s="3"/>
      <x:c r="AH214" s="3"/>
      <x:c r="AI214" s="3"/>
      <x:c r="AJ214" s="9" t="str">
        <x:f>IF(A214="","",A214&amp;"|"&amp;B214)</x:f>
      </x:c>
      <x:c r="AK214" s="9" t="str">
        <x:f>IF(A214="",IF(B214="","","MISSING_TEST_ID"),IF(B214="","MISSING_RUN_ID",IF(COUNTIFS($A$2:$A$501,A214,$B$2:$B$501,B214)&lt;&gt;1,"DUPLICATE_ID","OK")))</x:f>
      </x:c>
      <x:c r="AL214" s="9" t="str">
        <x:f>IF(A214="","",IF(AND(AK214="OK",J214="READY",F214&lt;&gt;"",G214&lt;&gt;"",K214&lt;&gt;"",OR(L214="PASS",L214="FAIL"),M214&lt;&gt;"",P214="social-publication-v2"),"YES","NO"))</x:f>
      </x:c>
      <x:c r="AM214" s="9" t="str">
        <x:f>IF(A214="","",IF(AND(AK214="OK",J214="READY",F214&lt;&gt;"",G214&lt;&gt;"",K214&lt;&gt;"",S214="OK",OR(R214="PASS",R214="FAIL")),"YES","NO"))</x:f>
      </x:c>
      <x:c r="AN214" s="9" t="str">
        <x:f>IF(A214="","",F214&amp;" | "&amp;G214&amp;" | "&amp;H214&amp;" | "&amp;I214)</x:f>
      </x:c>
    </x:row>
    <x:row r="215" ht="33" customHeight="1">
      <x:c r="A215" s="3"/>
      <x:c r="B215" s="3"/>
      <x:c r="C215" s="3"/>
      <x:c r="D215" s="3"/>
      <x:c r="E215" s="3"/>
      <x:c r="F215" s="3"/>
      <x:c r="G215" s="3"/>
      <x:c r="H215" s="3"/>
      <x:c r="I215" s="3"/>
      <x:c r="J215" s="3"/>
      <x:c r="K215" s="3"/>
      <x:c r="L215" s="6"/>
      <x:c r="M215" s="6"/>
      <x:c r="N215" s="6"/>
      <x:c r="O215" s="6"/>
      <x:c r="P215" s="6"/>
      <x:c r="Q215" s="7"/>
      <x:c r="R215" s="7"/>
      <x:c r="S215" s="7"/>
      <x:c r="T215" s="7"/>
      <x:c r="U215" s="7"/>
      <x:c r="V215" s="7"/>
      <x:c r="W215" s="7"/>
      <x:c r="X215" s="7"/>
      <x:c r="Y215" s="7"/>
      <x:c r="Z215" s="7"/>
      <x:c r="AA215" s="7"/>
      <x:c r="AB215" s="7"/>
      <x:c r="AC215" s="7"/>
      <x:c r="AD215" s="7"/>
      <x:c r="AE215" s="3"/>
      <x:c r="AF215" s="3"/>
      <x:c r="AG215" s="3"/>
      <x:c r="AH215" s="3"/>
      <x:c r="AI215" s="3"/>
      <x:c r="AJ215" s="9" t="str">
        <x:f>IF(A215="","",A215&amp;"|"&amp;B215)</x:f>
      </x:c>
      <x:c r="AK215" s="9" t="str">
        <x:f>IF(A215="",IF(B215="","","MISSING_TEST_ID"),IF(B215="","MISSING_RUN_ID",IF(COUNTIFS($A$2:$A$501,A215,$B$2:$B$501,B215)&lt;&gt;1,"DUPLICATE_ID","OK")))</x:f>
      </x:c>
      <x:c r="AL215" s="9" t="str">
        <x:f>IF(A215="","",IF(AND(AK215="OK",J215="READY",F215&lt;&gt;"",G215&lt;&gt;"",K215&lt;&gt;"",OR(L215="PASS",L215="FAIL"),M215&lt;&gt;"",P215="social-publication-v2"),"YES","NO"))</x:f>
      </x:c>
      <x:c r="AM215" s="9" t="str">
        <x:f>IF(A215="","",IF(AND(AK215="OK",J215="READY",F215&lt;&gt;"",G215&lt;&gt;"",K215&lt;&gt;"",S215="OK",OR(R215="PASS",R215="FAIL")),"YES","NO"))</x:f>
      </x:c>
      <x:c r="AN215" s="9" t="str">
        <x:f>IF(A215="","",F215&amp;" | "&amp;G215&amp;" | "&amp;H215&amp;" | "&amp;I215)</x:f>
      </x:c>
    </x:row>
    <x:row r="216" ht="33" customHeight="1">
      <x:c r="A216" s="3"/>
      <x:c r="B216" s="3"/>
      <x:c r="C216" s="3"/>
      <x:c r="D216" s="3"/>
      <x:c r="E216" s="3"/>
      <x:c r="F216" s="3"/>
      <x:c r="G216" s="3"/>
      <x:c r="H216" s="3"/>
      <x:c r="I216" s="3"/>
      <x:c r="J216" s="3"/>
      <x:c r="K216" s="3"/>
      <x:c r="L216" s="6"/>
      <x:c r="M216" s="6"/>
      <x:c r="N216" s="6"/>
      <x:c r="O216" s="6"/>
      <x:c r="P216" s="6"/>
      <x:c r="Q216" s="7"/>
      <x:c r="R216" s="7"/>
      <x:c r="S216" s="7"/>
      <x:c r="T216" s="7"/>
      <x:c r="U216" s="7"/>
      <x:c r="V216" s="7"/>
      <x:c r="W216" s="7"/>
      <x:c r="X216" s="7"/>
      <x:c r="Y216" s="7"/>
      <x:c r="Z216" s="7"/>
      <x:c r="AA216" s="7"/>
      <x:c r="AB216" s="7"/>
      <x:c r="AC216" s="7"/>
      <x:c r="AD216" s="7"/>
      <x:c r="AE216" s="3"/>
      <x:c r="AF216" s="3"/>
      <x:c r="AG216" s="3"/>
      <x:c r="AH216" s="3"/>
      <x:c r="AI216" s="3"/>
      <x:c r="AJ216" s="9" t="str">
        <x:f>IF(A216="","",A216&amp;"|"&amp;B216)</x:f>
      </x:c>
      <x:c r="AK216" s="9" t="str">
        <x:f>IF(A216="",IF(B216="","","MISSING_TEST_ID"),IF(B216="","MISSING_RUN_ID",IF(COUNTIFS($A$2:$A$501,A216,$B$2:$B$501,B216)&lt;&gt;1,"DUPLICATE_ID","OK")))</x:f>
      </x:c>
      <x:c r="AL216" s="9" t="str">
        <x:f>IF(A216="","",IF(AND(AK216="OK",J216="READY",F216&lt;&gt;"",G216&lt;&gt;"",K216&lt;&gt;"",OR(L216="PASS",L216="FAIL"),M216&lt;&gt;"",P216="social-publication-v2"),"YES","NO"))</x:f>
      </x:c>
      <x:c r="AM216" s="9" t="str">
        <x:f>IF(A216="","",IF(AND(AK216="OK",J216="READY",F216&lt;&gt;"",G216&lt;&gt;"",K216&lt;&gt;"",S216="OK",OR(R216="PASS",R216="FAIL")),"YES","NO"))</x:f>
      </x:c>
      <x:c r="AN216" s="9" t="str">
        <x:f>IF(A216="","",F216&amp;" | "&amp;G216&amp;" | "&amp;H216&amp;" | "&amp;I216)</x:f>
      </x:c>
    </x:row>
    <x:row r="217" ht="33" customHeight="1">
      <x:c r="A217" s="3"/>
      <x:c r="B217" s="3"/>
      <x:c r="C217" s="3"/>
      <x:c r="D217" s="3"/>
      <x:c r="E217" s="3"/>
      <x:c r="F217" s="3"/>
      <x:c r="G217" s="3"/>
      <x:c r="H217" s="3"/>
      <x:c r="I217" s="3"/>
      <x:c r="J217" s="3"/>
      <x:c r="K217" s="3"/>
      <x:c r="L217" s="6"/>
      <x:c r="M217" s="6"/>
      <x:c r="N217" s="6"/>
      <x:c r="O217" s="6"/>
      <x:c r="P217" s="6"/>
      <x:c r="Q217" s="7"/>
      <x:c r="R217" s="7"/>
      <x:c r="S217" s="7"/>
      <x:c r="T217" s="7"/>
      <x:c r="U217" s="7"/>
      <x:c r="V217" s="7"/>
      <x:c r="W217" s="7"/>
      <x:c r="X217" s="7"/>
      <x:c r="Y217" s="7"/>
      <x:c r="Z217" s="7"/>
      <x:c r="AA217" s="7"/>
      <x:c r="AB217" s="7"/>
      <x:c r="AC217" s="7"/>
      <x:c r="AD217" s="7"/>
      <x:c r="AE217" s="3"/>
      <x:c r="AF217" s="3"/>
      <x:c r="AG217" s="3"/>
      <x:c r="AH217" s="3"/>
      <x:c r="AI217" s="3"/>
      <x:c r="AJ217" s="9" t="str">
        <x:f>IF(A217="","",A217&amp;"|"&amp;B217)</x:f>
      </x:c>
      <x:c r="AK217" s="9" t="str">
        <x:f>IF(A217="",IF(B217="","","MISSING_TEST_ID"),IF(B217="","MISSING_RUN_ID",IF(COUNTIFS($A$2:$A$501,A217,$B$2:$B$501,B217)&lt;&gt;1,"DUPLICATE_ID","OK")))</x:f>
      </x:c>
      <x:c r="AL217" s="9" t="str">
        <x:f>IF(A217="","",IF(AND(AK217="OK",J217="READY",F217&lt;&gt;"",G217&lt;&gt;"",K217&lt;&gt;"",OR(L217="PASS",L217="FAIL"),M217&lt;&gt;"",P217="social-publication-v2"),"YES","NO"))</x:f>
      </x:c>
      <x:c r="AM217" s="9" t="str">
        <x:f>IF(A217="","",IF(AND(AK217="OK",J217="READY",F217&lt;&gt;"",G217&lt;&gt;"",K217&lt;&gt;"",S217="OK",OR(R217="PASS",R217="FAIL")),"YES","NO"))</x:f>
      </x:c>
      <x:c r="AN217" s="9" t="str">
        <x:f>IF(A217="","",F217&amp;" | "&amp;G217&amp;" | "&amp;H217&amp;" | "&amp;I217)</x:f>
      </x:c>
    </x:row>
    <x:row r="218" ht="33" customHeight="1">
      <x:c r="A218" s="3"/>
      <x:c r="B218" s="3"/>
      <x:c r="C218" s="3"/>
      <x:c r="D218" s="3"/>
      <x:c r="E218" s="3"/>
      <x:c r="F218" s="3"/>
      <x:c r="G218" s="3"/>
      <x:c r="H218" s="3"/>
      <x:c r="I218" s="3"/>
      <x:c r="J218" s="3"/>
      <x:c r="K218" s="3"/>
      <x:c r="L218" s="6"/>
      <x:c r="M218" s="6"/>
      <x:c r="N218" s="6"/>
      <x:c r="O218" s="6"/>
      <x:c r="P218" s="6"/>
      <x:c r="Q218" s="7"/>
      <x:c r="R218" s="7"/>
      <x:c r="S218" s="7"/>
      <x:c r="T218" s="7"/>
      <x:c r="U218" s="7"/>
      <x:c r="V218" s="7"/>
      <x:c r="W218" s="7"/>
      <x:c r="X218" s="7"/>
      <x:c r="Y218" s="7"/>
      <x:c r="Z218" s="7"/>
      <x:c r="AA218" s="7"/>
      <x:c r="AB218" s="7"/>
      <x:c r="AC218" s="7"/>
      <x:c r="AD218" s="7"/>
      <x:c r="AE218" s="3"/>
      <x:c r="AF218" s="3"/>
      <x:c r="AG218" s="3"/>
      <x:c r="AH218" s="3"/>
      <x:c r="AI218" s="3"/>
      <x:c r="AJ218" s="9" t="str">
        <x:f>IF(A218="","",A218&amp;"|"&amp;B218)</x:f>
      </x:c>
      <x:c r="AK218" s="9" t="str">
        <x:f>IF(A218="",IF(B218="","","MISSING_TEST_ID"),IF(B218="","MISSING_RUN_ID",IF(COUNTIFS($A$2:$A$501,A218,$B$2:$B$501,B218)&lt;&gt;1,"DUPLICATE_ID","OK")))</x:f>
      </x:c>
      <x:c r="AL218" s="9" t="str">
        <x:f>IF(A218="","",IF(AND(AK218="OK",J218="READY",F218&lt;&gt;"",G218&lt;&gt;"",K218&lt;&gt;"",OR(L218="PASS",L218="FAIL"),M218&lt;&gt;"",P218="social-publication-v2"),"YES","NO"))</x:f>
      </x:c>
      <x:c r="AM218" s="9" t="str">
        <x:f>IF(A218="","",IF(AND(AK218="OK",J218="READY",F218&lt;&gt;"",G218&lt;&gt;"",K218&lt;&gt;"",S218="OK",OR(R218="PASS",R218="FAIL")),"YES","NO"))</x:f>
      </x:c>
      <x:c r="AN218" s="9" t="str">
        <x:f>IF(A218="","",F218&amp;" | "&amp;G218&amp;" | "&amp;H218&amp;" | "&amp;I218)</x:f>
      </x:c>
    </x:row>
    <x:row r="219" ht="33" customHeight="1">
      <x:c r="A219" s="3"/>
      <x:c r="B219" s="3"/>
      <x:c r="C219" s="3"/>
      <x:c r="D219" s="3"/>
      <x:c r="E219" s="3"/>
      <x:c r="F219" s="3"/>
      <x:c r="G219" s="3"/>
      <x:c r="H219" s="3"/>
      <x:c r="I219" s="3"/>
      <x:c r="J219" s="3"/>
      <x:c r="K219" s="3"/>
      <x:c r="L219" s="6"/>
      <x:c r="M219" s="6"/>
      <x:c r="N219" s="6"/>
      <x:c r="O219" s="6"/>
      <x:c r="P219" s="6"/>
      <x:c r="Q219" s="7"/>
      <x:c r="R219" s="7"/>
      <x:c r="S219" s="7"/>
      <x:c r="T219" s="7"/>
      <x:c r="U219" s="7"/>
      <x:c r="V219" s="7"/>
      <x:c r="W219" s="7"/>
      <x:c r="X219" s="7"/>
      <x:c r="Y219" s="7"/>
      <x:c r="Z219" s="7"/>
      <x:c r="AA219" s="7"/>
      <x:c r="AB219" s="7"/>
      <x:c r="AC219" s="7"/>
      <x:c r="AD219" s="7"/>
      <x:c r="AE219" s="3"/>
      <x:c r="AF219" s="3"/>
      <x:c r="AG219" s="3"/>
      <x:c r="AH219" s="3"/>
      <x:c r="AI219" s="3"/>
      <x:c r="AJ219" s="9" t="str">
        <x:f>IF(A219="","",A219&amp;"|"&amp;B219)</x:f>
      </x:c>
      <x:c r="AK219" s="9" t="str">
        <x:f>IF(A219="",IF(B219="","","MISSING_TEST_ID"),IF(B219="","MISSING_RUN_ID",IF(COUNTIFS($A$2:$A$501,A219,$B$2:$B$501,B219)&lt;&gt;1,"DUPLICATE_ID","OK")))</x:f>
      </x:c>
      <x:c r="AL219" s="9" t="str">
        <x:f>IF(A219="","",IF(AND(AK219="OK",J219="READY",F219&lt;&gt;"",G219&lt;&gt;"",K219&lt;&gt;"",OR(L219="PASS",L219="FAIL"),M219&lt;&gt;"",P219="social-publication-v2"),"YES","NO"))</x:f>
      </x:c>
      <x:c r="AM219" s="9" t="str">
        <x:f>IF(A219="","",IF(AND(AK219="OK",J219="READY",F219&lt;&gt;"",G219&lt;&gt;"",K219&lt;&gt;"",S219="OK",OR(R219="PASS",R219="FAIL")),"YES","NO"))</x:f>
      </x:c>
      <x:c r="AN219" s="9" t="str">
        <x:f>IF(A219="","",F219&amp;" | "&amp;G219&amp;" | "&amp;H219&amp;" | "&amp;I219)</x:f>
      </x:c>
    </x:row>
    <x:row r="220" ht="33" customHeight="1">
      <x:c r="A220" s="3"/>
      <x:c r="B220" s="3"/>
      <x:c r="C220" s="3"/>
      <x:c r="D220" s="3"/>
      <x:c r="E220" s="3"/>
      <x:c r="F220" s="3"/>
      <x:c r="G220" s="3"/>
      <x:c r="H220" s="3"/>
      <x:c r="I220" s="3"/>
      <x:c r="J220" s="3"/>
      <x:c r="K220" s="3"/>
      <x:c r="L220" s="6"/>
      <x:c r="M220" s="6"/>
      <x:c r="N220" s="6"/>
      <x:c r="O220" s="6"/>
      <x:c r="P220" s="6"/>
      <x:c r="Q220" s="7"/>
      <x:c r="R220" s="7"/>
      <x:c r="S220" s="7"/>
      <x:c r="T220" s="7"/>
      <x:c r="U220" s="7"/>
      <x:c r="V220" s="7"/>
      <x:c r="W220" s="7"/>
      <x:c r="X220" s="7"/>
      <x:c r="Y220" s="7"/>
      <x:c r="Z220" s="7"/>
      <x:c r="AA220" s="7"/>
      <x:c r="AB220" s="7"/>
      <x:c r="AC220" s="7"/>
      <x:c r="AD220" s="7"/>
      <x:c r="AE220" s="3"/>
      <x:c r="AF220" s="3"/>
      <x:c r="AG220" s="3"/>
      <x:c r="AH220" s="3"/>
      <x:c r="AI220" s="3"/>
      <x:c r="AJ220" s="9" t="str">
        <x:f>IF(A220="","",A220&amp;"|"&amp;B220)</x:f>
      </x:c>
      <x:c r="AK220" s="9" t="str">
        <x:f>IF(A220="",IF(B220="","","MISSING_TEST_ID"),IF(B220="","MISSING_RUN_ID",IF(COUNTIFS($A$2:$A$501,A220,$B$2:$B$501,B220)&lt;&gt;1,"DUPLICATE_ID","OK")))</x:f>
      </x:c>
      <x:c r="AL220" s="9" t="str">
        <x:f>IF(A220="","",IF(AND(AK220="OK",J220="READY",F220&lt;&gt;"",G220&lt;&gt;"",K220&lt;&gt;"",OR(L220="PASS",L220="FAIL"),M220&lt;&gt;"",P220="social-publication-v2"),"YES","NO"))</x:f>
      </x:c>
      <x:c r="AM220" s="9" t="str">
        <x:f>IF(A220="","",IF(AND(AK220="OK",J220="READY",F220&lt;&gt;"",G220&lt;&gt;"",K220&lt;&gt;"",S220="OK",OR(R220="PASS",R220="FAIL")),"YES","NO"))</x:f>
      </x:c>
      <x:c r="AN220" s="9" t="str">
        <x:f>IF(A220="","",F220&amp;" | "&amp;G220&amp;" | "&amp;H220&amp;" | "&amp;I220)</x:f>
      </x:c>
    </x:row>
    <x:row r="221" ht="33" customHeight="1">
      <x:c r="A221" s="3"/>
      <x:c r="B221" s="3"/>
      <x:c r="C221" s="3"/>
      <x:c r="D221" s="3"/>
      <x:c r="E221" s="3"/>
      <x:c r="F221" s="3"/>
      <x:c r="G221" s="3"/>
      <x:c r="H221" s="3"/>
      <x:c r="I221" s="3"/>
      <x:c r="J221" s="3"/>
      <x:c r="K221" s="3"/>
      <x:c r="L221" s="6"/>
      <x:c r="M221" s="6"/>
      <x:c r="N221" s="6"/>
      <x:c r="O221" s="6"/>
      <x:c r="P221" s="6"/>
      <x:c r="Q221" s="7"/>
      <x:c r="R221" s="7"/>
      <x:c r="S221" s="7"/>
      <x:c r="T221" s="7"/>
      <x:c r="U221" s="7"/>
      <x:c r="V221" s="7"/>
      <x:c r="W221" s="7"/>
      <x:c r="X221" s="7"/>
      <x:c r="Y221" s="7"/>
      <x:c r="Z221" s="7"/>
      <x:c r="AA221" s="7"/>
      <x:c r="AB221" s="7"/>
      <x:c r="AC221" s="7"/>
      <x:c r="AD221" s="7"/>
      <x:c r="AE221" s="3"/>
      <x:c r="AF221" s="3"/>
      <x:c r="AG221" s="3"/>
      <x:c r="AH221" s="3"/>
      <x:c r="AI221" s="3"/>
      <x:c r="AJ221" s="9" t="str">
        <x:f>IF(A221="","",A221&amp;"|"&amp;B221)</x:f>
      </x:c>
      <x:c r="AK221" s="9" t="str">
        <x:f>IF(A221="",IF(B221="","","MISSING_TEST_ID"),IF(B221="","MISSING_RUN_ID",IF(COUNTIFS($A$2:$A$501,A221,$B$2:$B$501,B221)&lt;&gt;1,"DUPLICATE_ID","OK")))</x:f>
      </x:c>
      <x:c r="AL221" s="9" t="str">
        <x:f>IF(A221="","",IF(AND(AK221="OK",J221="READY",F221&lt;&gt;"",G221&lt;&gt;"",K221&lt;&gt;"",OR(L221="PASS",L221="FAIL"),M221&lt;&gt;"",P221="social-publication-v2"),"YES","NO"))</x:f>
      </x:c>
      <x:c r="AM221" s="9" t="str">
        <x:f>IF(A221="","",IF(AND(AK221="OK",J221="READY",F221&lt;&gt;"",G221&lt;&gt;"",K221&lt;&gt;"",S221="OK",OR(R221="PASS",R221="FAIL")),"YES","NO"))</x:f>
      </x:c>
      <x:c r="AN221" s="9" t="str">
        <x:f>IF(A221="","",F221&amp;" | "&amp;G221&amp;" | "&amp;H221&amp;" | "&amp;I221)</x:f>
      </x:c>
    </x:row>
    <x:row r="222" ht="33" customHeight="1">
      <x:c r="A222" s="3"/>
      <x:c r="B222" s="3"/>
      <x:c r="C222" s="3"/>
      <x:c r="D222" s="3"/>
      <x:c r="E222" s="3"/>
      <x:c r="F222" s="3"/>
      <x:c r="G222" s="3"/>
      <x:c r="H222" s="3"/>
      <x:c r="I222" s="3"/>
      <x:c r="J222" s="3"/>
      <x:c r="K222" s="3"/>
      <x:c r="L222" s="6"/>
      <x:c r="M222" s="6"/>
      <x:c r="N222" s="6"/>
      <x:c r="O222" s="6"/>
      <x:c r="P222" s="6"/>
      <x:c r="Q222" s="7"/>
      <x:c r="R222" s="7"/>
      <x:c r="S222" s="7"/>
      <x:c r="T222" s="7"/>
      <x:c r="U222" s="7"/>
      <x:c r="V222" s="7"/>
      <x:c r="W222" s="7"/>
      <x:c r="X222" s="7"/>
      <x:c r="Y222" s="7"/>
      <x:c r="Z222" s="7"/>
      <x:c r="AA222" s="7"/>
      <x:c r="AB222" s="7"/>
      <x:c r="AC222" s="7"/>
      <x:c r="AD222" s="7"/>
      <x:c r="AE222" s="3"/>
      <x:c r="AF222" s="3"/>
      <x:c r="AG222" s="3"/>
      <x:c r="AH222" s="3"/>
      <x:c r="AI222" s="3"/>
      <x:c r="AJ222" s="9" t="str">
        <x:f>IF(A222="","",A222&amp;"|"&amp;B222)</x:f>
      </x:c>
      <x:c r="AK222" s="9" t="str">
        <x:f>IF(A222="",IF(B222="","","MISSING_TEST_ID"),IF(B222="","MISSING_RUN_ID",IF(COUNTIFS($A$2:$A$501,A222,$B$2:$B$501,B222)&lt;&gt;1,"DUPLICATE_ID","OK")))</x:f>
      </x:c>
      <x:c r="AL222" s="9" t="str">
        <x:f>IF(A222="","",IF(AND(AK222="OK",J222="READY",F222&lt;&gt;"",G222&lt;&gt;"",K222&lt;&gt;"",OR(L222="PASS",L222="FAIL"),M222&lt;&gt;"",P222="social-publication-v2"),"YES","NO"))</x:f>
      </x:c>
      <x:c r="AM222" s="9" t="str">
        <x:f>IF(A222="","",IF(AND(AK222="OK",J222="READY",F222&lt;&gt;"",G222&lt;&gt;"",K222&lt;&gt;"",S222="OK",OR(R222="PASS",R222="FAIL")),"YES","NO"))</x:f>
      </x:c>
      <x:c r="AN222" s="9" t="str">
        <x:f>IF(A222="","",F222&amp;" | "&amp;G222&amp;" | "&amp;H222&amp;" | "&amp;I222)</x:f>
      </x:c>
    </x:row>
    <x:row r="223" ht="33" customHeight="1">
      <x:c r="A223" s="3"/>
      <x:c r="B223" s="3"/>
      <x:c r="C223" s="3"/>
      <x:c r="D223" s="3"/>
      <x:c r="E223" s="3"/>
      <x:c r="F223" s="3"/>
      <x:c r="G223" s="3"/>
      <x:c r="H223" s="3"/>
      <x:c r="I223" s="3"/>
      <x:c r="J223" s="3"/>
      <x:c r="K223" s="3"/>
      <x:c r="L223" s="6"/>
      <x:c r="M223" s="6"/>
      <x:c r="N223" s="6"/>
      <x:c r="O223" s="6"/>
      <x:c r="P223" s="6"/>
      <x:c r="Q223" s="7"/>
      <x:c r="R223" s="7"/>
      <x:c r="S223" s="7"/>
      <x:c r="T223" s="7"/>
      <x:c r="U223" s="7"/>
      <x:c r="V223" s="7"/>
      <x:c r="W223" s="7"/>
      <x:c r="X223" s="7"/>
      <x:c r="Y223" s="7"/>
      <x:c r="Z223" s="7"/>
      <x:c r="AA223" s="7"/>
      <x:c r="AB223" s="7"/>
      <x:c r="AC223" s="7"/>
      <x:c r="AD223" s="7"/>
      <x:c r="AE223" s="3"/>
      <x:c r="AF223" s="3"/>
      <x:c r="AG223" s="3"/>
      <x:c r="AH223" s="3"/>
      <x:c r="AI223" s="3"/>
      <x:c r="AJ223" s="9" t="str">
        <x:f>IF(A223="","",A223&amp;"|"&amp;B223)</x:f>
      </x:c>
      <x:c r="AK223" s="9" t="str">
        <x:f>IF(A223="",IF(B223="","","MISSING_TEST_ID"),IF(B223="","MISSING_RUN_ID",IF(COUNTIFS($A$2:$A$501,A223,$B$2:$B$501,B223)&lt;&gt;1,"DUPLICATE_ID","OK")))</x:f>
      </x:c>
      <x:c r="AL223" s="9" t="str">
        <x:f>IF(A223="","",IF(AND(AK223="OK",J223="READY",F223&lt;&gt;"",G223&lt;&gt;"",K223&lt;&gt;"",OR(L223="PASS",L223="FAIL"),M223&lt;&gt;"",P223="social-publication-v2"),"YES","NO"))</x:f>
      </x:c>
      <x:c r="AM223" s="9" t="str">
        <x:f>IF(A223="","",IF(AND(AK223="OK",J223="READY",F223&lt;&gt;"",G223&lt;&gt;"",K223&lt;&gt;"",S223="OK",OR(R223="PASS",R223="FAIL")),"YES","NO"))</x:f>
      </x:c>
      <x:c r="AN223" s="9" t="str">
        <x:f>IF(A223="","",F223&amp;" | "&amp;G223&amp;" | "&amp;H223&amp;" | "&amp;I223)</x:f>
      </x:c>
    </x:row>
    <x:row r="224" ht="33" customHeight="1">
      <x:c r="A224" s="3"/>
      <x:c r="B224" s="3"/>
      <x:c r="C224" s="3"/>
      <x:c r="D224" s="3"/>
      <x:c r="E224" s="3"/>
      <x:c r="F224" s="3"/>
      <x:c r="G224" s="3"/>
      <x:c r="H224" s="3"/>
      <x:c r="I224" s="3"/>
      <x:c r="J224" s="3"/>
      <x:c r="K224" s="3"/>
      <x:c r="L224" s="6"/>
      <x:c r="M224" s="6"/>
      <x:c r="N224" s="6"/>
      <x:c r="O224" s="6"/>
      <x:c r="P224" s="6"/>
      <x:c r="Q224" s="7"/>
      <x:c r="R224" s="7"/>
      <x:c r="S224" s="7"/>
      <x:c r="T224" s="7"/>
      <x:c r="U224" s="7"/>
      <x:c r="V224" s="7"/>
      <x:c r="W224" s="7"/>
      <x:c r="X224" s="7"/>
      <x:c r="Y224" s="7"/>
      <x:c r="Z224" s="7"/>
      <x:c r="AA224" s="7"/>
      <x:c r="AB224" s="7"/>
      <x:c r="AC224" s="7"/>
      <x:c r="AD224" s="7"/>
      <x:c r="AE224" s="3"/>
      <x:c r="AF224" s="3"/>
      <x:c r="AG224" s="3"/>
      <x:c r="AH224" s="3"/>
      <x:c r="AI224" s="3"/>
      <x:c r="AJ224" s="9" t="str">
        <x:f>IF(A224="","",A224&amp;"|"&amp;B224)</x:f>
      </x:c>
      <x:c r="AK224" s="9" t="str">
        <x:f>IF(A224="",IF(B224="","","MISSING_TEST_ID"),IF(B224="","MISSING_RUN_ID",IF(COUNTIFS($A$2:$A$501,A224,$B$2:$B$501,B224)&lt;&gt;1,"DUPLICATE_ID","OK")))</x:f>
      </x:c>
      <x:c r="AL224" s="9" t="str">
        <x:f>IF(A224="","",IF(AND(AK224="OK",J224="READY",F224&lt;&gt;"",G224&lt;&gt;"",K224&lt;&gt;"",OR(L224="PASS",L224="FAIL"),M224&lt;&gt;"",P224="social-publication-v2"),"YES","NO"))</x:f>
      </x:c>
      <x:c r="AM224" s="9" t="str">
        <x:f>IF(A224="","",IF(AND(AK224="OK",J224="READY",F224&lt;&gt;"",G224&lt;&gt;"",K224&lt;&gt;"",S224="OK",OR(R224="PASS",R224="FAIL")),"YES","NO"))</x:f>
      </x:c>
      <x:c r="AN224" s="9" t="str">
        <x:f>IF(A224="","",F224&amp;" | "&amp;G224&amp;" | "&amp;H224&amp;" | "&amp;I224)</x:f>
      </x:c>
    </x:row>
    <x:row r="225" ht="33" customHeight="1">
      <x:c r="A225" s="3"/>
      <x:c r="B225" s="3"/>
      <x:c r="C225" s="3"/>
      <x:c r="D225" s="3"/>
      <x:c r="E225" s="3"/>
      <x:c r="F225" s="3"/>
      <x:c r="G225" s="3"/>
      <x:c r="H225" s="3"/>
      <x:c r="I225" s="3"/>
      <x:c r="J225" s="3"/>
      <x:c r="K225" s="3"/>
      <x:c r="L225" s="6"/>
      <x:c r="M225" s="6"/>
      <x:c r="N225" s="6"/>
      <x:c r="O225" s="6"/>
      <x:c r="P225" s="6"/>
      <x:c r="Q225" s="7"/>
      <x:c r="R225" s="7"/>
      <x:c r="S225" s="7"/>
      <x:c r="T225" s="7"/>
      <x:c r="U225" s="7"/>
      <x:c r="V225" s="7"/>
      <x:c r="W225" s="7"/>
      <x:c r="X225" s="7"/>
      <x:c r="Y225" s="7"/>
      <x:c r="Z225" s="7"/>
      <x:c r="AA225" s="7"/>
      <x:c r="AB225" s="7"/>
      <x:c r="AC225" s="7"/>
      <x:c r="AD225" s="7"/>
      <x:c r="AE225" s="3"/>
      <x:c r="AF225" s="3"/>
      <x:c r="AG225" s="3"/>
      <x:c r="AH225" s="3"/>
      <x:c r="AI225" s="3"/>
      <x:c r="AJ225" s="9" t="str">
        <x:f>IF(A225="","",A225&amp;"|"&amp;B225)</x:f>
      </x:c>
      <x:c r="AK225" s="9" t="str">
        <x:f>IF(A225="",IF(B225="","","MISSING_TEST_ID"),IF(B225="","MISSING_RUN_ID",IF(COUNTIFS($A$2:$A$501,A225,$B$2:$B$501,B225)&lt;&gt;1,"DUPLICATE_ID","OK")))</x:f>
      </x:c>
      <x:c r="AL225" s="9" t="str">
        <x:f>IF(A225="","",IF(AND(AK225="OK",J225="READY",F225&lt;&gt;"",G225&lt;&gt;"",K225&lt;&gt;"",OR(L225="PASS",L225="FAIL"),M225&lt;&gt;"",P225="social-publication-v2"),"YES","NO"))</x:f>
      </x:c>
      <x:c r="AM225" s="9" t="str">
        <x:f>IF(A225="","",IF(AND(AK225="OK",J225="READY",F225&lt;&gt;"",G225&lt;&gt;"",K225&lt;&gt;"",S225="OK",OR(R225="PASS",R225="FAIL")),"YES","NO"))</x:f>
      </x:c>
      <x:c r="AN225" s="9" t="str">
        <x:f>IF(A225="","",F225&amp;" | "&amp;G225&amp;" | "&amp;H225&amp;" | "&amp;I225)</x:f>
      </x:c>
    </x:row>
    <x:row r="226" ht="33" customHeight="1">
      <x:c r="A226" s="3"/>
      <x:c r="B226" s="3"/>
      <x:c r="C226" s="3"/>
      <x:c r="D226" s="3"/>
      <x:c r="E226" s="3"/>
      <x:c r="F226" s="3"/>
      <x:c r="G226" s="3"/>
      <x:c r="H226" s="3"/>
      <x:c r="I226" s="3"/>
      <x:c r="J226" s="3"/>
      <x:c r="K226" s="3"/>
      <x:c r="L226" s="6"/>
      <x:c r="M226" s="6"/>
      <x:c r="N226" s="6"/>
      <x:c r="O226" s="6"/>
      <x:c r="P226" s="6"/>
      <x:c r="Q226" s="7"/>
      <x:c r="R226" s="7"/>
      <x:c r="S226" s="7"/>
      <x:c r="T226" s="7"/>
      <x:c r="U226" s="7"/>
      <x:c r="V226" s="7"/>
      <x:c r="W226" s="7"/>
      <x:c r="X226" s="7"/>
      <x:c r="Y226" s="7"/>
      <x:c r="Z226" s="7"/>
      <x:c r="AA226" s="7"/>
      <x:c r="AB226" s="7"/>
      <x:c r="AC226" s="7"/>
      <x:c r="AD226" s="7"/>
      <x:c r="AE226" s="3"/>
      <x:c r="AF226" s="3"/>
      <x:c r="AG226" s="3"/>
      <x:c r="AH226" s="3"/>
      <x:c r="AI226" s="3"/>
      <x:c r="AJ226" s="9" t="str">
        <x:f>IF(A226="","",A226&amp;"|"&amp;B226)</x:f>
      </x:c>
      <x:c r="AK226" s="9" t="str">
        <x:f>IF(A226="",IF(B226="","","MISSING_TEST_ID"),IF(B226="","MISSING_RUN_ID",IF(COUNTIFS($A$2:$A$501,A226,$B$2:$B$501,B226)&lt;&gt;1,"DUPLICATE_ID","OK")))</x:f>
      </x:c>
      <x:c r="AL226" s="9" t="str">
        <x:f>IF(A226="","",IF(AND(AK226="OK",J226="READY",F226&lt;&gt;"",G226&lt;&gt;"",K226&lt;&gt;"",OR(L226="PASS",L226="FAIL"),M226&lt;&gt;"",P226="social-publication-v2"),"YES","NO"))</x:f>
      </x:c>
      <x:c r="AM226" s="9" t="str">
        <x:f>IF(A226="","",IF(AND(AK226="OK",J226="READY",F226&lt;&gt;"",G226&lt;&gt;"",K226&lt;&gt;"",S226="OK",OR(R226="PASS",R226="FAIL")),"YES","NO"))</x:f>
      </x:c>
      <x:c r="AN226" s="9" t="str">
        <x:f>IF(A226="","",F226&amp;" | "&amp;G226&amp;" | "&amp;H226&amp;" | "&amp;I226)</x:f>
      </x:c>
    </x:row>
    <x:row r="227" ht="33" customHeight="1">
      <x:c r="A227" s="3"/>
      <x:c r="B227" s="3"/>
      <x:c r="C227" s="3"/>
      <x:c r="D227" s="3"/>
      <x:c r="E227" s="3"/>
      <x:c r="F227" s="3"/>
      <x:c r="G227" s="3"/>
      <x:c r="H227" s="3"/>
      <x:c r="I227" s="3"/>
      <x:c r="J227" s="3"/>
      <x:c r="K227" s="3"/>
      <x:c r="L227" s="6"/>
      <x:c r="M227" s="6"/>
      <x:c r="N227" s="6"/>
      <x:c r="O227" s="6"/>
      <x:c r="P227" s="6"/>
      <x:c r="Q227" s="7"/>
      <x:c r="R227" s="7"/>
      <x:c r="S227" s="7"/>
      <x:c r="T227" s="7"/>
      <x:c r="U227" s="7"/>
      <x:c r="V227" s="7"/>
      <x:c r="W227" s="7"/>
      <x:c r="X227" s="7"/>
      <x:c r="Y227" s="7"/>
      <x:c r="Z227" s="7"/>
      <x:c r="AA227" s="7"/>
      <x:c r="AB227" s="7"/>
      <x:c r="AC227" s="7"/>
      <x:c r="AD227" s="7"/>
      <x:c r="AE227" s="3"/>
      <x:c r="AF227" s="3"/>
      <x:c r="AG227" s="3"/>
      <x:c r="AH227" s="3"/>
      <x:c r="AI227" s="3"/>
      <x:c r="AJ227" s="9" t="str">
        <x:f>IF(A227="","",A227&amp;"|"&amp;B227)</x:f>
      </x:c>
      <x:c r="AK227" s="9" t="str">
        <x:f>IF(A227="",IF(B227="","","MISSING_TEST_ID"),IF(B227="","MISSING_RUN_ID",IF(COUNTIFS($A$2:$A$501,A227,$B$2:$B$501,B227)&lt;&gt;1,"DUPLICATE_ID","OK")))</x:f>
      </x:c>
      <x:c r="AL227" s="9" t="str">
        <x:f>IF(A227="","",IF(AND(AK227="OK",J227="READY",F227&lt;&gt;"",G227&lt;&gt;"",K227&lt;&gt;"",OR(L227="PASS",L227="FAIL"),M227&lt;&gt;"",P227="social-publication-v2"),"YES","NO"))</x:f>
      </x:c>
      <x:c r="AM227" s="9" t="str">
        <x:f>IF(A227="","",IF(AND(AK227="OK",J227="READY",F227&lt;&gt;"",G227&lt;&gt;"",K227&lt;&gt;"",S227="OK",OR(R227="PASS",R227="FAIL")),"YES","NO"))</x:f>
      </x:c>
      <x:c r="AN227" s="9" t="str">
        <x:f>IF(A227="","",F227&amp;" | "&amp;G227&amp;" | "&amp;H227&amp;" | "&amp;I227)</x:f>
      </x:c>
    </x:row>
    <x:row r="228" ht="33" customHeight="1">
      <x:c r="A228" s="3"/>
      <x:c r="B228" s="3"/>
      <x:c r="C228" s="3"/>
      <x:c r="D228" s="3"/>
      <x:c r="E228" s="3"/>
      <x:c r="F228" s="3"/>
      <x:c r="G228" s="3"/>
      <x:c r="H228" s="3"/>
      <x:c r="I228" s="3"/>
      <x:c r="J228" s="3"/>
      <x:c r="K228" s="3"/>
      <x:c r="L228" s="6"/>
      <x:c r="M228" s="6"/>
      <x:c r="N228" s="6"/>
      <x:c r="O228" s="6"/>
      <x:c r="P228" s="6"/>
      <x:c r="Q228" s="7"/>
      <x:c r="R228" s="7"/>
      <x:c r="S228" s="7"/>
      <x:c r="T228" s="7"/>
      <x:c r="U228" s="7"/>
      <x:c r="V228" s="7"/>
      <x:c r="W228" s="7"/>
      <x:c r="X228" s="7"/>
      <x:c r="Y228" s="7"/>
      <x:c r="Z228" s="7"/>
      <x:c r="AA228" s="7"/>
      <x:c r="AB228" s="7"/>
      <x:c r="AC228" s="7"/>
      <x:c r="AD228" s="7"/>
      <x:c r="AE228" s="3"/>
      <x:c r="AF228" s="3"/>
      <x:c r="AG228" s="3"/>
      <x:c r="AH228" s="3"/>
      <x:c r="AI228" s="3"/>
      <x:c r="AJ228" s="9" t="str">
        <x:f>IF(A228="","",A228&amp;"|"&amp;B228)</x:f>
      </x:c>
      <x:c r="AK228" s="9" t="str">
        <x:f>IF(A228="",IF(B228="","","MISSING_TEST_ID"),IF(B228="","MISSING_RUN_ID",IF(COUNTIFS($A$2:$A$501,A228,$B$2:$B$501,B228)&lt;&gt;1,"DUPLICATE_ID","OK")))</x:f>
      </x:c>
      <x:c r="AL228" s="9" t="str">
        <x:f>IF(A228="","",IF(AND(AK228="OK",J228="READY",F228&lt;&gt;"",G228&lt;&gt;"",K228&lt;&gt;"",OR(L228="PASS",L228="FAIL"),M228&lt;&gt;"",P228="social-publication-v2"),"YES","NO"))</x:f>
      </x:c>
      <x:c r="AM228" s="9" t="str">
        <x:f>IF(A228="","",IF(AND(AK228="OK",J228="READY",F228&lt;&gt;"",G228&lt;&gt;"",K228&lt;&gt;"",S228="OK",OR(R228="PASS",R228="FAIL")),"YES","NO"))</x:f>
      </x:c>
      <x:c r="AN228" s="9" t="str">
        <x:f>IF(A228="","",F228&amp;" | "&amp;G228&amp;" | "&amp;H228&amp;" | "&amp;I228)</x:f>
      </x:c>
    </x:row>
    <x:row r="229" ht="33" customHeight="1">
      <x:c r="A229" s="3"/>
      <x:c r="B229" s="3"/>
      <x:c r="C229" s="3"/>
      <x:c r="D229" s="3"/>
      <x:c r="E229" s="3"/>
      <x:c r="F229" s="3"/>
      <x:c r="G229" s="3"/>
      <x:c r="H229" s="3"/>
      <x:c r="I229" s="3"/>
      <x:c r="J229" s="3"/>
      <x:c r="K229" s="3"/>
      <x:c r="L229" s="6"/>
      <x:c r="M229" s="6"/>
      <x:c r="N229" s="6"/>
      <x:c r="O229" s="6"/>
      <x:c r="P229" s="6"/>
      <x:c r="Q229" s="7"/>
      <x:c r="R229" s="7"/>
      <x:c r="S229" s="7"/>
      <x:c r="T229" s="7"/>
      <x:c r="U229" s="7"/>
      <x:c r="V229" s="7"/>
      <x:c r="W229" s="7"/>
      <x:c r="X229" s="7"/>
      <x:c r="Y229" s="7"/>
      <x:c r="Z229" s="7"/>
      <x:c r="AA229" s="7"/>
      <x:c r="AB229" s="7"/>
      <x:c r="AC229" s="7"/>
      <x:c r="AD229" s="7"/>
      <x:c r="AE229" s="3"/>
      <x:c r="AF229" s="3"/>
      <x:c r="AG229" s="3"/>
      <x:c r="AH229" s="3"/>
      <x:c r="AI229" s="3"/>
      <x:c r="AJ229" s="9" t="str">
        <x:f>IF(A229="","",A229&amp;"|"&amp;B229)</x:f>
      </x:c>
      <x:c r="AK229" s="9" t="str">
        <x:f>IF(A229="",IF(B229="","","MISSING_TEST_ID"),IF(B229="","MISSING_RUN_ID",IF(COUNTIFS($A$2:$A$501,A229,$B$2:$B$501,B229)&lt;&gt;1,"DUPLICATE_ID","OK")))</x:f>
      </x:c>
      <x:c r="AL229" s="9" t="str">
        <x:f>IF(A229="","",IF(AND(AK229="OK",J229="READY",F229&lt;&gt;"",G229&lt;&gt;"",K229&lt;&gt;"",OR(L229="PASS",L229="FAIL"),M229&lt;&gt;"",P229="social-publication-v2"),"YES","NO"))</x:f>
      </x:c>
      <x:c r="AM229" s="9" t="str">
        <x:f>IF(A229="","",IF(AND(AK229="OK",J229="READY",F229&lt;&gt;"",G229&lt;&gt;"",K229&lt;&gt;"",S229="OK",OR(R229="PASS",R229="FAIL")),"YES","NO"))</x:f>
      </x:c>
      <x:c r="AN229" s="9" t="str">
        <x:f>IF(A229="","",F229&amp;" | "&amp;G229&amp;" | "&amp;H229&amp;" | "&amp;I229)</x:f>
      </x:c>
    </x:row>
    <x:row r="230" ht="33" customHeight="1">
      <x:c r="A230" s="3"/>
      <x:c r="B230" s="3"/>
      <x:c r="C230" s="3"/>
      <x:c r="D230" s="3"/>
      <x:c r="E230" s="3"/>
      <x:c r="F230" s="3"/>
      <x:c r="G230" s="3"/>
      <x:c r="H230" s="3"/>
      <x:c r="I230" s="3"/>
      <x:c r="J230" s="3"/>
      <x:c r="K230" s="3"/>
      <x:c r="L230" s="6"/>
      <x:c r="M230" s="6"/>
      <x:c r="N230" s="6"/>
      <x:c r="O230" s="6"/>
      <x:c r="P230" s="6"/>
      <x:c r="Q230" s="7"/>
      <x:c r="R230" s="7"/>
      <x:c r="S230" s="7"/>
      <x:c r="T230" s="7"/>
      <x:c r="U230" s="7"/>
      <x:c r="V230" s="7"/>
      <x:c r="W230" s="7"/>
      <x:c r="X230" s="7"/>
      <x:c r="Y230" s="7"/>
      <x:c r="Z230" s="7"/>
      <x:c r="AA230" s="7"/>
      <x:c r="AB230" s="7"/>
      <x:c r="AC230" s="7"/>
      <x:c r="AD230" s="7"/>
      <x:c r="AE230" s="3"/>
      <x:c r="AF230" s="3"/>
      <x:c r="AG230" s="3"/>
      <x:c r="AH230" s="3"/>
      <x:c r="AI230" s="3"/>
      <x:c r="AJ230" s="9" t="str">
        <x:f>IF(A230="","",A230&amp;"|"&amp;B230)</x:f>
      </x:c>
      <x:c r="AK230" s="9" t="str">
        <x:f>IF(A230="",IF(B230="","","MISSING_TEST_ID"),IF(B230="","MISSING_RUN_ID",IF(COUNTIFS($A$2:$A$501,A230,$B$2:$B$501,B230)&lt;&gt;1,"DUPLICATE_ID","OK")))</x:f>
      </x:c>
      <x:c r="AL230" s="9" t="str">
        <x:f>IF(A230="","",IF(AND(AK230="OK",J230="READY",F230&lt;&gt;"",G230&lt;&gt;"",K230&lt;&gt;"",OR(L230="PASS",L230="FAIL"),M230&lt;&gt;"",P230="social-publication-v2"),"YES","NO"))</x:f>
      </x:c>
      <x:c r="AM230" s="9" t="str">
        <x:f>IF(A230="","",IF(AND(AK230="OK",J230="READY",F230&lt;&gt;"",G230&lt;&gt;"",K230&lt;&gt;"",S230="OK",OR(R230="PASS",R230="FAIL")),"YES","NO"))</x:f>
      </x:c>
      <x:c r="AN230" s="9" t="str">
        <x:f>IF(A230="","",F230&amp;" | "&amp;G230&amp;" | "&amp;H230&amp;" | "&amp;I230)</x:f>
      </x:c>
    </x:row>
    <x:row r="231" ht="33" customHeight="1">
      <x:c r="A231" s="3"/>
      <x:c r="B231" s="3"/>
      <x:c r="C231" s="3"/>
      <x:c r="D231" s="3"/>
      <x:c r="E231" s="3"/>
      <x:c r="F231" s="3"/>
      <x:c r="G231" s="3"/>
      <x:c r="H231" s="3"/>
      <x:c r="I231" s="3"/>
      <x:c r="J231" s="3"/>
      <x:c r="K231" s="3"/>
      <x:c r="L231" s="6"/>
      <x:c r="M231" s="6"/>
      <x:c r="N231" s="6"/>
      <x:c r="O231" s="6"/>
      <x:c r="P231" s="6"/>
      <x:c r="Q231" s="7"/>
      <x:c r="R231" s="7"/>
      <x:c r="S231" s="7"/>
      <x:c r="T231" s="7"/>
      <x:c r="U231" s="7"/>
      <x:c r="V231" s="7"/>
      <x:c r="W231" s="7"/>
      <x:c r="X231" s="7"/>
      <x:c r="Y231" s="7"/>
      <x:c r="Z231" s="7"/>
      <x:c r="AA231" s="7"/>
      <x:c r="AB231" s="7"/>
      <x:c r="AC231" s="7"/>
      <x:c r="AD231" s="7"/>
      <x:c r="AE231" s="3"/>
      <x:c r="AF231" s="3"/>
      <x:c r="AG231" s="3"/>
      <x:c r="AH231" s="3"/>
      <x:c r="AI231" s="3"/>
      <x:c r="AJ231" s="9" t="str">
        <x:f>IF(A231="","",A231&amp;"|"&amp;B231)</x:f>
      </x:c>
      <x:c r="AK231" s="9" t="str">
        <x:f>IF(A231="",IF(B231="","","MISSING_TEST_ID"),IF(B231="","MISSING_RUN_ID",IF(COUNTIFS($A$2:$A$501,A231,$B$2:$B$501,B231)&lt;&gt;1,"DUPLICATE_ID","OK")))</x:f>
      </x:c>
      <x:c r="AL231" s="9" t="str">
        <x:f>IF(A231="","",IF(AND(AK231="OK",J231="READY",F231&lt;&gt;"",G231&lt;&gt;"",K231&lt;&gt;"",OR(L231="PASS",L231="FAIL"),M231&lt;&gt;"",P231="social-publication-v2"),"YES","NO"))</x:f>
      </x:c>
      <x:c r="AM231" s="9" t="str">
        <x:f>IF(A231="","",IF(AND(AK231="OK",J231="READY",F231&lt;&gt;"",G231&lt;&gt;"",K231&lt;&gt;"",S231="OK",OR(R231="PASS",R231="FAIL")),"YES","NO"))</x:f>
      </x:c>
      <x:c r="AN231" s="9" t="str">
        <x:f>IF(A231="","",F231&amp;" | "&amp;G231&amp;" | "&amp;H231&amp;" | "&amp;I231)</x:f>
      </x:c>
    </x:row>
    <x:row r="232" ht="33" customHeight="1">
      <x:c r="A232" s="3"/>
      <x:c r="B232" s="3"/>
      <x:c r="C232" s="3"/>
      <x:c r="D232" s="3"/>
      <x:c r="E232" s="3"/>
      <x:c r="F232" s="3"/>
      <x:c r="G232" s="3"/>
      <x:c r="H232" s="3"/>
      <x:c r="I232" s="3"/>
      <x:c r="J232" s="3"/>
      <x:c r="K232" s="3"/>
      <x:c r="L232" s="6"/>
      <x:c r="M232" s="6"/>
      <x:c r="N232" s="6"/>
      <x:c r="O232" s="6"/>
      <x:c r="P232" s="6"/>
      <x:c r="Q232" s="7"/>
      <x:c r="R232" s="7"/>
      <x:c r="S232" s="7"/>
      <x:c r="T232" s="7"/>
      <x:c r="U232" s="7"/>
      <x:c r="V232" s="7"/>
      <x:c r="W232" s="7"/>
      <x:c r="X232" s="7"/>
      <x:c r="Y232" s="7"/>
      <x:c r="Z232" s="7"/>
      <x:c r="AA232" s="7"/>
      <x:c r="AB232" s="7"/>
      <x:c r="AC232" s="7"/>
      <x:c r="AD232" s="7"/>
      <x:c r="AE232" s="3"/>
      <x:c r="AF232" s="3"/>
      <x:c r="AG232" s="3"/>
      <x:c r="AH232" s="3"/>
      <x:c r="AI232" s="3"/>
      <x:c r="AJ232" s="9" t="str">
        <x:f>IF(A232="","",A232&amp;"|"&amp;B232)</x:f>
      </x:c>
      <x:c r="AK232" s="9" t="str">
        <x:f>IF(A232="",IF(B232="","","MISSING_TEST_ID"),IF(B232="","MISSING_RUN_ID",IF(COUNTIFS($A$2:$A$501,A232,$B$2:$B$501,B232)&lt;&gt;1,"DUPLICATE_ID","OK")))</x:f>
      </x:c>
      <x:c r="AL232" s="9" t="str">
        <x:f>IF(A232="","",IF(AND(AK232="OK",J232="READY",F232&lt;&gt;"",G232&lt;&gt;"",K232&lt;&gt;"",OR(L232="PASS",L232="FAIL"),M232&lt;&gt;"",P232="social-publication-v2"),"YES","NO"))</x:f>
      </x:c>
      <x:c r="AM232" s="9" t="str">
        <x:f>IF(A232="","",IF(AND(AK232="OK",J232="READY",F232&lt;&gt;"",G232&lt;&gt;"",K232&lt;&gt;"",S232="OK",OR(R232="PASS",R232="FAIL")),"YES","NO"))</x:f>
      </x:c>
      <x:c r="AN232" s="9" t="str">
        <x:f>IF(A232="","",F232&amp;" | "&amp;G232&amp;" | "&amp;H232&amp;" | "&amp;I232)</x:f>
      </x:c>
    </x:row>
    <x:row r="233" ht="33" customHeight="1">
      <x:c r="A233" s="3"/>
      <x:c r="B233" s="3"/>
      <x:c r="C233" s="3"/>
      <x:c r="D233" s="3"/>
      <x:c r="E233" s="3"/>
      <x:c r="F233" s="3"/>
      <x:c r="G233" s="3"/>
      <x:c r="H233" s="3"/>
      <x:c r="I233" s="3"/>
      <x:c r="J233" s="3"/>
      <x:c r="K233" s="3"/>
      <x:c r="L233" s="6"/>
      <x:c r="M233" s="6"/>
      <x:c r="N233" s="6"/>
      <x:c r="O233" s="6"/>
      <x:c r="P233" s="6"/>
      <x:c r="Q233" s="7"/>
      <x:c r="R233" s="7"/>
      <x:c r="S233" s="7"/>
      <x:c r="T233" s="7"/>
      <x:c r="U233" s="7"/>
      <x:c r="V233" s="7"/>
      <x:c r="W233" s="7"/>
      <x:c r="X233" s="7"/>
      <x:c r="Y233" s="7"/>
      <x:c r="Z233" s="7"/>
      <x:c r="AA233" s="7"/>
      <x:c r="AB233" s="7"/>
      <x:c r="AC233" s="7"/>
      <x:c r="AD233" s="7"/>
      <x:c r="AE233" s="3"/>
      <x:c r="AF233" s="3"/>
      <x:c r="AG233" s="3"/>
      <x:c r="AH233" s="3"/>
      <x:c r="AI233" s="3"/>
      <x:c r="AJ233" s="9" t="str">
        <x:f>IF(A233="","",A233&amp;"|"&amp;B233)</x:f>
      </x:c>
      <x:c r="AK233" s="9" t="str">
        <x:f>IF(A233="",IF(B233="","","MISSING_TEST_ID"),IF(B233="","MISSING_RUN_ID",IF(COUNTIFS($A$2:$A$501,A233,$B$2:$B$501,B233)&lt;&gt;1,"DUPLICATE_ID","OK")))</x:f>
      </x:c>
      <x:c r="AL233" s="9" t="str">
        <x:f>IF(A233="","",IF(AND(AK233="OK",J233="READY",F233&lt;&gt;"",G233&lt;&gt;"",K233&lt;&gt;"",OR(L233="PASS",L233="FAIL"),M233&lt;&gt;"",P233="social-publication-v2"),"YES","NO"))</x:f>
      </x:c>
      <x:c r="AM233" s="9" t="str">
        <x:f>IF(A233="","",IF(AND(AK233="OK",J233="READY",F233&lt;&gt;"",G233&lt;&gt;"",K233&lt;&gt;"",S233="OK",OR(R233="PASS",R233="FAIL")),"YES","NO"))</x:f>
      </x:c>
      <x:c r="AN233" s="9" t="str">
        <x:f>IF(A233="","",F233&amp;" | "&amp;G233&amp;" | "&amp;H233&amp;" | "&amp;I233)</x:f>
      </x:c>
    </x:row>
    <x:row r="234" ht="33" customHeight="1">
      <x:c r="A234" s="3"/>
      <x:c r="B234" s="3"/>
      <x:c r="C234" s="3"/>
      <x:c r="D234" s="3"/>
      <x:c r="E234" s="3"/>
      <x:c r="F234" s="3"/>
      <x:c r="G234" s="3"/>
      <x:c r="H234" s="3"/>
      <x:c r="I234" s="3"/>
      <x:c r="J234" s="3"/>
      <x:c r="K234" s="3"/>
      <x:c r="L234" s="6"/>
      <x:c r="M234" s="6"/>
      <x:c r="N234" s="6"/>
      <x:c r="O234" s="6"/>
      <x:c r="P234" s="6"/>
      <x:c r="Q234" s="7"/>
      <x:c r="R234" s="7"/>
      <x:c r="S234" s="7"/>
      <x:c r="T234" s="7"/>
      <x:c r="U234" s="7"/>
      <x:c r="V234" s="7"/>
      <x:c r="W234" s="7"/>
      <x:c r="X234" s="7"/>
      <x:c r="Y234" s="7"/>
      <x:c r="Z234" s="7"/>
      <x:c r="AA234" s="7"/>
      <x:c r="AB234" s="7"/>
      <x:c r="AC234" s="7"/>
      <x:c r="AD234" s="7"/>
      <x:c r="AE234" s="3"/>
      <x:c r="AF234" s="3"/>
      <x:c r="AG234" s="3"/>
      <x:c r="AH234" s="3"/>
      <x:c r="AI234" s="3"/>
      <x:c r="AJ234" s="9" t="str">
        <x:f>IF(A234="","",A234&amp;"|"&amp;B234)</x:f>
      </x:c>
      <x:c r="AK234" s="9" t="str">
        <x:f>IF(A234="",IF(B234="","","MISSING_TEST_ID"),IF(B234="","MISSING_RUN_ID",IF(COUNTIFS($A$2:$A$501,A234,$B$2:$B$501,B234)&lt;&gt;1,"DUPLICATE_ID","OK")))</x:f>
      </x:c>
      <x:c r="AL234" s="9" t="str">
        <x:f>IF(A234="","",IF(AND(AK234="OK",J234="READY",F234&lt;&gt;"",G234&lt;&gt;"",K234&lt;&gt;"",OR(L234="PASS",L234="FAIL"),M234&lt;&gt;"",P234="social-publication-v2"),"YES","NO"))</x:f>
      </x:c>
      <x:c r="AM234" s="9" t="str">
        <x:f>IF(A234="","",IF(AND(AK234="OK",J234="READY",F234&lt;&gt;"",G234&lt;&gt;"",K234&lt;&gt;"",S234="OK",OR(R234="PASS",R234="FAIL")),"YES","NO"))</x:f>
      </x:c>
      <x:c r="AN234" s="9" t="str">
        <x:f>IF(A234="","",F234&amp;" | "&amp;G234&amp;" | "&amp;H234&amp;" | "&amp;I234)</x:f>
      </x:c>
    </x:row>
    <x:row r="235" ht="33" customHeight="1">
      <x:c r="A235" s="3"/>
      <x:c r="B235" s="3"/>
      <x:c r="C235" s="3"/>
      <x:c r="D235" s="3"/>
      <x:c r="E235" s="3"/>
      <x:c r="F235" s="3"/>
      <x:c r="G235" s="3"/>
      <x:c r="H235" s="3"/>
      <x:c r="I235" s="3"/>
      <x:c r="J235" s="3"/>
      <x:c r="K235" s="3"/>
      <x:c r="L235" s="6"/>
      <x:c r="M235" s="6"/>
      <x:c r="N235" s="6"/>
      <x:c r="O235" s="6"/>
      <x:c r="P235" s="6"/>
      <x:c r="Q235" s="7"/>
      <x:c r="R235" s="7"/>
      <x:c r="S235" s="7"/>
      <x:c r="T235" s="7"/>
      <x:c r="U235" s="7"/>
      <x:c r="V235" s="7"/>
      <x:c r="W235" s="7"/>
      <x:c r="X235" s="7"/>
      <x:c r="Y235" s="7"/>
      <x:c r="Z235" s="7"/>
      <x:c r="AA235" s="7"/>
      <x:c r="AB235" s="7"/>
      <x:c r="AC235" s="7"/>
      <x:c r="AD235" s="7"/>
      <x:c r="AE235" s="3"/>
      <x:c r="AF235" s="3"/>
      <x:c r="AG235" s="3"/>
      <x:c r="AH235" s="3"/>
      <x:c r="AI235" s="3"/>
      <x:c r="AJ235" s="9" t="str">
        <x:f>IF(A235="","",A235&amp;"|"&amp;B235)</x:f>
      </x:c>
      <x:c r="AK235" s="9" t="str">
        <x:f>IF(A235="",IF(B235="","","MISSING_TEST_ID"),IF(B235="","MISSING_RUN_ID",IF(COUNTIFS($A$2:$A$501,A235,$B$2:$B$501,B235)&lt;&gt;1,"DUPLICATE_ID","OK")))</x:f>
      </x:c>
      <x:c r="AL235" s="9" t="str">
        <x:f>IF(A235="","",IF(AND(AK235="OK",J235="READY",F235&lt;&gt;"",G235&lt;&gt;"",K235&lt;&gt;"",OR(L235="PASS",L235="FAIL"),M235&lt;&gt;"",P235="social-publication-v2"),"YES","NO"))</x:f>
      </x:c>
      <x:c r="AM235" s="9" t="str">
        <x:f>IF(A235="","",IF(AND(AK235="OK",J235="READY",F235&lt;&gt;"",G235&lt;&gt;"",K235&lt;&gt;"",S235="OK",OR(R235="PASS",R235="FAIL")),"YES","NO"))</x:f>
      </x:c>
      <x:c r="AN235" s="9" t="str">
        <x:f>IF(A235="","",F235&amp;" | "&amp;G235&amp;" | "&amp;H235&amp;" | "&amp;I235)</x:f>
      </x:c>
    </x:row>
    <x:row r="236" ht="33" customHeight="1">
      <x:c r="A236" s="3"/>
      <x:c r="B236" s="3"/>
      <x:c r="C236" s="3"/>
      <x:c r="D236" s="3"/>
      <x:c r="E236" s="3"/>
      <x:c r="F236" s="3"/>
      <x:c r="G236" s="3"/>
      <x:c r="H236" s="3"/>
      <x:c r="I236" s="3"/>
      <x:c r="J236" s="3"/>
      <x:c r="K236" s="3"/>
      <x:c r="L236" s="6"/>
      <x:c r="M236" s="6"/>
      <x:c r="N236" s="6"/>
      <x:c r="O236" s="6"/>
      <x:c r="P236" s="6"/>
      <x:c r="Q236" s="7"/>
      <x:c r="R236" s="7"/>
      <x:c r="S236" s="7"/>
      <x:c r="T236" s="7"/>
      <x:c r="U236" s="7"/>
      <x:c r="V236" s="7"/>
      <x:c r="W236" s="7"/>
      <x:c r="X236" s="7"/>
      <x:c r="Y236" s="7"/>
      <x:c r="Z236" s="7"/>
      <x:c r="AA236" s="7"/>
      <x:c r="AB236" s="7"/>
      <x:c r="AC236" s="7"/>
      <x:c r="AD236" s="7"/>
      <x:c r="AE236" s="3"/>
      <x:c r="AF236" s="3"/>
      <x:c r="AG236" s="3"/>
      <x:c r="AH236" s="3"/>
      <x:c r="AI236" s="3"/>
      <x:c r="AJ236" s="9" t="str">
        <x:f>IF(A236="","",A236&amp;"|"&amp;B236)</x:f>
      </x:c>
      <x:c r="AK236" s="9" t="str">
        <x:f>IF(A236="",IF(B236="","","MISSING_TEST_ID"),IF(B236="","MISSING_RUN_ID",IF(COUNTIFS($A$2:$A$501,A236,$B$2:$B$501,B236)&lt;&gt;1,"DUPLICATE_ID","OK")))</x:f>
      </x:c>
      <x:c r="AL236" s="9" t="str">
        <x:f>IF(A236="","",IF(AND(AK236="OK",J236="READY",F236&lt;&gt;"",G236&lt;&gt;"",K236&lt;&gt;"",OR(L236="PASS",L236="FAIL"),M236&lt;&gt;"",P236="social-publication-v2"),"YES","NO"))</x:f>
      </x:c>
      <x:c r="AM236" s="9" t="str">
        <x:f>IF(A236="","",IF(AND(AK236="OK",J236="READY",F236&lt;&gt;"",G236&lt;&gt;"",K236&lt;&gt;"",S236="OK",OR(R236="PASS",R236="FAIL")),"YES","NO"))</x:f>
      </x:c>
      <x:c r="AN236" s="9" t="str">
        <x:f>IF(A236="","",F236&amp;" | "&amp;G236&amp;" | "&amp;H236&amp;" | "&amp;I236)</x:f>
      </x:c>
    </x:row>
    <x:row r="237" ht="33" customHeight="1">
      <x:c r="A237" s="3"/>
      <x:c r="B237" s="3"/>
      <x:c r="C237" s="3"/>
      <x:c r="D237" s="3"/>
      <x:c r="E237" s="3"/>
      <x:c r="F237" s="3"/>
      <x:c r="G237" s="3"/>
      <x:c r="H237" s="3"/>
      <x:c r="I237" s="3"/>
      <x:c r="J237" s="3"/>
      <x:c r="K237" s="3"/>
      <x:c r="L237" s="6"/>
      <x:c r="M237" s="6"/>
      <x:c r="N237" s="6"/>
      <x:c r="O237" s="6"/>
      <x:c r="P237" s="6"/>
      <x:c r="Q237" s="7"/>
      <x:c r="R237" s="7"/>
      <x:c r="S237" s="7"/>
      <x:c r="T237" s="7"/>
      <x:c r="U237" s="7"/>
      <x:c r="V237" s="7"/>
      <x:c r="W237" s="7"/>
      <x:c r="X237" s="7"/>
      <x:c r="Y237" s="7"/>
      <x:c r="Z237" s="7"/>
      <x:c r="AA237" s="7"/>
      <x:c r="AB237" s="7"/>
      <x:c r="AC237" s="7"/>
      <x:c r="AD237" s="7"/>
      <x:c r="AE237" s="3"/>
      <x:c r="AF237" s="3"/>
      <x:c r="AG237" s="3"/>
      <x:c r="AH237" s="3"/>
      <x:c r="AI237" s="3"/>
      <x:c r="AJ237" s="9" t="str">
        <x:f>IF(A237="","",A237&amp;"|"&amp;B237)</x:f>
      </x:c>
      <x:c r="AK237" s="9" t="str">
        <x:f>IF(A237="",IF(B237="","","MISSING_TEST_ID"),IF(B237="","MISSING_RUN_ID",IF(COUNTIFS($A$2:$A$501,A237,$B$2:$B$501,B237)&lt;&gt;1,"DUPLICATE_ID","OK")))</x:f>
      </x:c>
      <x:c r="AL237" s="9" t="str">
        <x:f>IF(A237="","",IF(AND(AK237="OK",J237="READY",F237&lt;&gt;"",G237&lt;&gt;"",K237&lt;&gt;"",OR(L237="PASS",L237="FAIL"),M237&lt;&gt;"",P237="social-publication-v2"),"YES","NO"))</x:f>
      </x:c>
      <x:c r="AM237" s="9" t="str">
        <x:f>IF(A237="","",IF(AND(AK237="OK",J237="READY",F237&lt;&gt;"",G237&lt;&gt;"",K237&lt;&gt;"",S237="OK",OR(R237="PASS",R237="FAIL")),"YES","NO"))</x:f>
      </x:c>
      <x:c r="AN237" s="9" t="str">
        <x:f>IF(A237="","",F237&amp;" | "&amp;G237&amp;" | "&amp;H237&amp;" | "&amp;I237)</x:f>
      </x:c>
    </x:row>
    <x:row r="238" ht="33" customHeight="1">
      <x:c r="A238" s="3"/>
      <x:c r="B238" s="3"/>
      <x:c r="C238" s="3"/>
      <x:c r="D238" s="3"/>
      <x:c r="E238" s="3"/>
      <x:c r="F238" s="3"/>
      <x:c r="G238" s="3"/>
      <x:c r="H238" s="3"/>
      <x:c r="I238" s="3"/>
      <x:c r="J238" s="3"/>
      <x:c r="K238" s="3"/>
      <x:c r="L238" s="6"/>
      <x:c r="M238" s="6"/>
      <x:c r="N238" s="6"/>
      <x:c r="O238" s="6"/>
      <x:c r="P238" s="6"/>
      <x:c r="Q238" s="7"/>
      <x:c r="R238" s="7"/>
      <x:c r="S238" s="7"/>
      <x:c r="T238" s="7"/>
      <x:c r="U238" s="7"/>
      <x:c r="V238" s="7"/>
      <x:c r="W238" s="7"/>
      <x:c r="X238" s="7"/>
      <x:c r="Y238" s="7"/>
      <x:c r="Z238" s="7"/>
      <x:c r="AA238" s="7"/>
      <x:c r="AB238" s="7"/>
      <x:c r="AC238" s="7"/>
      <x:c r="AD238" s="7"/>
      <x:c r="AE238" s="3"/>
      <x:c r="AF238" s="3"/>
      <x:c r="AG238" s="3"/>
      <x:c r="AH238" s="3"/>
      <x:c r="AI238" s="3"/>
      <x:c r="AJ238" s="9" t="str">
        <x:f>IF(A238="","",A238&amp;"|"&amp;B238)</x:f>
      </x:c>
      <x:c r="AK238" s="9" t="str">
        <x:f>IF(A238="",IF(B238="","","MISSING_TEST_ID"),IF(B238="","MISSING_RUN_ID",IF(COUNTIFS($A$2:$A$501,A238,$B$2:$B$501,B238)&lt;&gt;1,"DUPLICATE_ID","OK")))</x:f>
      </x:c>
      <x:c r="AL238" s="9" t="str">
        <x:f>IF(A238="","",IF(AND(AK238="OK",J238="READY",F238&lt;&gt;"",G238&lt;&gt;"",K238&lt;&gt;"",OR(L238="PASS",L238="FAIL"),M238&lt;&gt;"",P238="social-publication-v2"),"YES","NO"))</x:f>
      </x:c>
      <x:c r="AM238" s="9" t="str">
        <x:f>IF(A238="","",IF(AND(AK238="OK",J238="READY",F238&lt;&gt;"",G238&lt;&gt;"",K238&lt;&gt;"",S238="OK",OR(R238="PASS",R238="FAIL")),"YES","NO"))</x:f>
      </x:c>
      <x:c r="AN238" s="9" t="str">
        <x:f>IF(A238="","",F238&amp;" | "&amp;G238&amp;" | "&amp;H238&amp;" | "&amp;I238)</x:f>
      </x:c>
    </x:row>
    <x:row r="239" ht="33" customHeight="1">
      <x:c r="A239" s="3"/>
      <x:c r="B239" s="3"/>
      <x:c r="C239" s="3"/>
      <x:c r="D239" s="3"/>
      <x:c r="E239" s="3"/>
      <x:c r="F239" s="3"/>
      <x:c r="G239" s="3"/>
      <x:c r="H239" s="3"/>
      <x:c r="I239" s="3"/>
      <x:c r="J239" s="3"/>
      <x:c r="K239" s="3"/>
      <x:c r="L239" s="6"/>
      <x:c r="M239" s="6"/>
      <x:c r="N239" s="6"/>
      <x:c r="O239" s="6"/>
      <x:c r="P239" s="6"/>
      <x:c r="Q239" s="7"/>
      <x:c r="R239" s="7"/>
      <x:c r="S239" s="7"/>
      <x:c r="T239" s="7"/>
      <x:c r="U239" s="7"/>
      <x:c r="V239" s="7"/>
      <x:c r="W239" s="7"/>
      <x:c r="X239" s="7"/>
      <x:c r="Y239" s="7"/>
      <x:c r="Z239" s="7"/>
      <x:c r="AA239" s="7"/>
      <x:c r="AB239" s="7"/>
      <x:c r="AC239" s="7"/>
      <x:c r="AD239" s="7"/>
      <x:c r="AE239" s="3"/>
      <x:c r="AF239" s="3"/>
      <x:c r="AG239" s="3"/>
      <x:c r="AH239" s="3"/>
      <x:c r="AI239" s="3"/>
      <x:c r="AJ239" s="9" t="str">
        <x:f>IF(A239="","",A239&amp;"|"&amp;B239)</x:f>
      </x:c>
      <x:c r="AK239" s="9" t="str">
        <x:f>IF(A239="",IF(B239="","","MISSING_TEST_ID"),IF(B239="","MISSING_RUN_ID",IF(COUNTIFS($A$2:$A$501,A239,$B$2:$B$501,B239)&lt;&gt;1,"DUPLICATE_ID","OK")))</x:f>
      </x:c>
      <x:c r="AL239" s="9" t="str">
        <x:f>IF(A239="","",IF(AND(AK239="OK",J239="READY",F239&lt;&gt;"",G239&lt;&gt;"",K239&lt;&gt;"",OR(L239="PASS",L239="FAIL"),M239&lt;&gt;"",P239="social-publication-v2"),"YES","NO"))</x:f>
      </x:c>
      <x:c r="AM239" s="9" t="str">
        <x:f>IF(A239="","",IF(AND(AK239="OK",J239="READY",F239&lt;&gt;"",G239&lt;&gt;"",K239&lt;&gt;"",S239="OK",OR(R239="PASS",R239="FAIL")),"YES","NO"))</x:f>
      </x:c>
      <x:c r="AN239" s="9" t="str">
        <x:f>IF(A239="","",F239&amp;" | "&amp;G239&amp;" | "&amp;H239&amp;" | "&amp;I239)</x:f>
      </x:c>
    </x:row>
    <x:row r="240" ht="33" customHeight="1">
      <x:c r="A240" s="3"/>
      <x:c r="B240" s="3"/>
      <x:c r="C240" s="3"/>
      <x:c r="D240" s="3"/>
      <x:c r="E240" s="3"/>
      <x:c r="F240" s="3"/>
      <x:c r="G240" s="3"/>
      <x:c r="H240" s="3"/>
      <x:c r="I240" s="3"/>
      <x:c r="J240" s="3"/>
      <x:c r="K240" s="3"/>
      <x:c r="L240" s="6"/>
      <x:c r="M240" s="6"/>
      <x:c r="N240" s="6"/>
      <x:c r="O240" s="6"/>
      <x:c r="P240" s="6"/>
      <x:c r="Q240" s="7"/>
      <x:c r="R240" s="7"/>
      <x:c r="S240" s="7"/>
      <x:c r="T240" s="7"/>
      <x:c r="U240" s="7"/>
      <x:c r="V240" s="7"/>
      <x:c r="W240" s="7"/>
      <x:c r="X240" s="7"/>
      <x:c r="Y240" s="7"/>
      <x:c r="Z240" s="7"/>
      <x:c r="AA240" s="7"/>
      <x:c r="AB240" s="7"/>
      <x:c r="AC240" s="7"/>
      <x:c r="AD240" s="7"/>
      <x:c r="AE240" s="3"/>
      <x:c r="AF240" s="3"/>
      <x:c r="AG240" s="3"/>
      <x:c r="AH240" s="3"/>
      <x:c r="AI240" s="3"/>
      <x:c r="AJ240" s="9" t="str">
        <x:f>IF(A240="","",A240&amp;"|"&amp;B240)</x:f>
      </x:c>
      <x:c r="AK240" s="9" t="str">
        <x:f>IF(A240="",IF(B240="","","MISSING_TEST_ID"),IF(B240="","MISSING_RUN_ID",IF(COUNTIFS($A$2:$A$501,A240,$B$2:$B$501,B240)&lt;&gt;1,"DUPLICATE_ID","OK")))</x:f>
      </x:c>
      <x:c r="AL240" s="9" t="str">
        <x:f>IF(A240="","",IF(AND(AK240="OK",J240="READY",F240&lt;&gt;"",G240&lt;&gt;"",K240&lt;&gt;"",OR(L240="PASS",L240="FAIL"),M240&lt;&gt;"",P240="social-publication-v2"),"YES","NO"))</x:f>
      </x:c>
      <x:c r="AM240" s="9" t="str">
        <x:f>IF(A240="","",IF(AND(AK240="OK",J240="READY",F240&lt;&gt;"",G240&lt;&gt;"",K240&lt;&gt;"",S240="OK",OR(R240="PASS",R240="FAIL")),"YES","NO"))</x:f>
      </x:c>
      <x:c r="AN240" s="9" t="str">
        <x:f>IF(A240="","",F240&amp;" | "&amp;G240&amp;" | "&amp;H240&amp;" | "&amp;I240)</x:f>
      </x:c>
    </x:row>
    <x:row r="241" ht="33" customHeight="1">
      <x:c r="A241" s="3"/>
      <x:c r="B241" s="3"/>
      <x:c r="C241" s="3"/>
      <x:c r="D241" s="3"/>
      <x:c r="E241" s="3"/>
      <x:c r="F241" s="3"/>
      <x:c r="G241" s="3"/>
      <x:c r="H241" s="3"/>
      <x:c r="I241" s="3"/>
      <x:c r="J241" s="3"/>
      <x:c r="K241" s="3"/>
      <x:c r="L241" s="6"/>
      <x:c r="M241" s="6"/>
      <x:c r="N241" s="6"/>
      <x:c r="O241" s="6"/>
      <x:c r="P241" s="6"/>
      <x:c r="Q241" s="7"/>
      <x:c r="R241" s="7"/>
      <x:c r="S241" s="7"/>
      <x:c r="T241" s="7"/>
      <x:c r="U241" s="7"/>
      <x:c r="V241" s="7"/>
      <x:c r="W241" s="7"/>
      <x:c r="X241" s="7"/>
      <x:c r="Y241" s="7"/>
      <x:c r="Z241" s="7"/>
      <x:c r="AA241" s="7"/>
      <x:c r="AB241" s="7"/>
      <x:c r="AC241" s="7"/>
      <x:c r="AD241" s="7"/>
      <x:c r="AE241" s="3"/>
      <x:c r="AF241" s="3"/>
      <x:c r="AG241" s="3"/>
      <x:c r="AH241" s="3"/>
      <x:c r="AI241" s="3"/>
      <x:c r="AJ241" s="9" t="str">
        <x:f>IF(A241="","",A241&amp;"|"&amp;B241)</x:f>
      </x:c>
      <x:c r="AK241" s="9" t="str">
        <x:f>IF(A241="",IF(B241="","","MISSING_TEST_ID"),IF(B241="","MISSING_RUN_ID",IF(COUNTIFS($A$2:$A$501,A241,$B$2:$B$501,B241)&lt;&gt;1,"DUPLICATE_ID","OK")))</x:f>
      </x:c>
      <x:c r="AL241" s="9" t="str">
        <x:f>IF(A241="","",IF(AND(AK241="OK",J241="READY",F241&lt;&gt;"",G241&lt;&gt;"",K241&lt;&gt;"",OR(L241="PASS",L241="FAIL"),M241&lt;&gt;"",P241="social-publication-v2"),"YES","NO"))</x:f>
      </x:c>
      <x:c r="AM241" s="9" t="str">
        <x:f>IF(A241="","",IF(AND(AK241="OK",J241="READY",F241&lt;&gt;"",G241&lt;&gt;"",K241&lt;&gt;"",S241="OK",OR(R241="PASS",R241="FAIL")),"YES","NO"))</x:f>
      </x:c>
      <x:c r="AN241" s="9" t="str">
        <x:f>IF(A241="","",F241&amp;" | "&amp;G241&amp;" | "&amp;H241&amp;" | "&amp;I241)</x:f>
      </x:c>
    </x:row>
    <x:row r="242" ht="33" customHeight="1">
      <x:c r="A242" s="3"/>
      <x:c r="B242" s="3"/>
      <x:c r="C242" s="3"/>
      <x:c r="D242" s="3"/>
      <x:c r="E242" s="3"/>
      <x:c r="F242" s="3"/>
      <x:c r="G242" s="3"/>
      <x:c r="H242" s="3"/>
      <x:c r="I242" s="3"/>
      <x:c r="J242" s="3"/>
      <x:c r="K242" s="3"/>
      <x:c r="L242" s="6"/>
      <x:c r="M242" s="6"/>
      <x:c r="N242" s="6"/>
      <x:c r="O242" s="6"/>
      <x:c r="P242" s="6"/>
      <x:c r="Q242" s="7"/>
      <x:c r="R242" s="7"/>
      <x:c r="S242" s="7"/>
      <x:c r="T242" s="7"/>
      <x:c r="U242" s="7"/>
      <x:c r="V242" s="7"/>
      <x:c r="W242" s="7"/>
      <x:c r="X242" s="7"/>
      <x:c r="Y242" s="7"/>
      <x:c r="Z242" s="7"/>
      <x:c r="AA242" s="7"/>
      <x:c r="AB242" s="7"/>
      <x:c r="AC242" s="7"/>
      <x:c r="AD242" s="7"/>
      <x:c r="AE242" s="3"/>
      <x:c r="AF242" s="3"/>
      <x:c r="AG242" s="3"/>
      <x:c r="AH242" s="3"/>
      <x:c r="AI242" s="3"/>
      <x:c r="AJ242" s="9" t="str">
        <x:f>IF(A242="","",A242&amp;"|"&amp;B242)</x:f>
      </x:c>
      <x:c r="AK242" s="9" t="str">
        <x:f>IF(A242="",IF(B242="","","MISSING_TEST_ID"),IF(B242="","MISSING_RUN_ID",IF(COUNTIFS($A$2:$A$501,A242,$B$2:$B$501,B242)&lt;&gt;1,"DUPLICATE_ID","OK")))</x:f>
      </x:c>
      <x:c r="AL242" s="9" t="str">
        <x:f>IF(A242="","",IF(AND(AK242="OK",J242="READY",F242&lt;&gt;"",G242&lt;&gt;"",K242&lt;&gt;"",OR(L242="PASS",L242="FAIL"),M242&lt;&gt;"",P242="social-publication-v2"),"YES","NO"))</x:f>
      </x:c>
      <x:c r="AM242" s="9" t="str">
        <x:f>IF(A242="","",IF(AND(AK242="OK",J242="READY",F242&lt;&gt;"",G242&lt;&gt;"",K242&lt;&gt;"",S242="OK",OR(R242="PASS",R242="FAIL")),"YES","NO"))</x:f>
      </x:c>
      <x:c r="AN242" s="9" t="str">
        <x:f>IF(A242="","",F242&amp;" | "&amp;G242&amp;" | "&amp;H242&amp;" | "&amp;I242)</x:f>
      </x:c>
    </x:row>
    <x:row r="243" ht="33" customHeight="1">
      <x:c r="A243" s="3"/>
      <x:c r="B243" s="3"/>
      <x:c r="C243" s="3"/>
      <x:c r="D243" s="3"/>
      <x:c r="E243" s="3"/>
      <x:c r="F243" s="3"/>
      <x:c r="G243" s="3"/>
      <x:c r="H243" s="3"/>
      <x:c r="I243" s="3"/>
      <x:c r="J243" s="3"/>
      <x:c r="K243" s="3"/>
      <x:c r="L243" s="6"/>
      <x:c r="M243" s="6"/>
      <x:c r="N243" s="6"/>
      <x:c r="O243" s="6"/>
      <x:c r="P243" s="6"/>
      <x:c r="Q243" s="7"/>
      <x:c r="R243" s="7"/>
      <x:c r="S243" s="7"/>
      <x:c r="T243" s="7"/>
      <x:c r="U243" s="7"/>
      <x:c r="V243" s="7"/>
      <x:c r="W243" s="7"/>
      <x:c r="X243" s="7"/>
      <x:c r="Y243" s="7"/>
      <x:c r="Z243" s="7"/>
      <x:c r="AA243" s="7"/>
      <x:c r="AB243" s="7"/>
      <x:c r="AC243" s="7"/>
      <x:c r="AD243" s="7"/>
      <x:c r="AE243" s="3"/>
      <x:c r="AF243" s="3"/>
      <x:c r="AG243" s="3"/>
      <x:c r="AH243" s="3"/>
      <x:c r="AI243" s="3"/>
      <x:c r="AJ243" s="9" t="str">
        <x:f>IF(A243="","",A243&amp;"|"&amp;B243)</x:f>
      </x:c>
      <x:c r="AK243" s="9" t="str">
        <x:f>IF(A243="",IF(B243="","","MISSING_TEST_ID"),IF(B243="","MISSING_RUN_ID",IF(COUNTIFS($A$2:$A$501,A243,$B$2:$B$501,B243)&lt;&gt;1,"DUPLICATE_ID","OK")))</x:f>
      </x:c>
      <x:c r="AL243" s="9" t="str">
        <x:f>IF(A243="","",IF(AND(AK243="OK",J243="READY",F243&lt;&gt;"",G243&lt;&gt;"",K243&lt;&gt;"",OR(L243="PASS",L243="FAIL"),M243&lt;&gt;"",P243="social-publication-v2"),"YES","NO"))</x:f>
      </x:c>
      <x:c r="AM243" s="9" t="str">
        <x:f>IF(A243="","",IF(AND(AK243="OK",J243="READY",F243&lt;&gt;"",G243&lt;&gt;"",K243&lt;&gt;"",S243="OK",OR(R243="PASS",R243="FAIL")),"YES","NO"))</x:f>
      </x:c>
      <x:c r="AN243" s="9" t="str">
        <x:f>IF(A243="","",F243&amp;" | "&amp;G243&amp;" | "&amp;H243&amp;" | "&amp;I243)</x:f>
      </x:c>
    </x:row>
    <x:row r="244" ht="33" customHeight="1">
      <x:c r="A244" s="3"/>
      <x:c r="B244" s="3"/>
      <x:c r="C244" s="3"/>
      <x:c r="D244" s="3"/>
      <x:c r="E244" s="3"/>
      <x:c r="F244" s="3"/>
      <x:c r="G244" s="3"/>
      <x:c r="H244" s="3"/>
      <x:c r="I244" s="3"/>
      <x:c r="J244" s="3"/>
      <x:c r="K244" s="3"/>
      <x:c r="L244" s="6"/>
      <x:c r="M244" s="6"/>
      <x:c r="N244" s="6"/>
      <x:c r="O244" s="6"/>
      <x:c r="P244" s="6"/>
      <x:c r="Q244" s="7"/>
      <x:c r="R244" s="7"/>
      <x:c r="S244" s="7"/>
      <x:c r="T244" s="7"/>
      <x:c r="U244" s="7"/>
      <x:c r="V244" s="7"/>
      <x:c r="W244" s="7"/>
      <x:c r="X244" s="7"/>
      <x:c r="Y244" s="7"/>
      <x:c r="Z244" s="7"/>
      <x:c r="AA244" s="7"/>
      <x:c r="AB244" s="7"/>
      <x:c r="AC244" s="7"/>
      <x:c r="AD244" s="7"/>
      <x:c r="AE244" s="3"/>
      <x:c r="AF244" s="3"/>
      <x:c r="AG244" s="3"/>
      <x:c r="AH244" s="3"/>
      <x:c r="AI244" s="3"/>
      <x:c r="AJ244" s="9" t="str">
        <x:f>IF(A244="","",A244&amp;"|"&amp;B244)</x:f>
      </x:c>
      <x:c r="AK244" s="9" t="str">
        <x:f>IF(A244="",IF(B244="","","MISSING_TEST_ID"),IF(B244="","MISSING_RUN_ID",IF(COUNTIFS($A$2:$A$501,A244,$B$2:$B$501,B244)&lt;&gt;1,"DUPLICATE_ID","OK")))</x:f>
      </x:c>
      <x:c r="AL244" s="9" t="str">
        <x:f>IF(A244="","",IF(AND(AK244="OK",J244="READY",F244&lt;&gt;"",G244&lt;&gt;"",K244&lt;&gt;"",OR(L244="PASS",L244="FAIL"),M244&lt;&gt;"",P244="social-publication-v2"),"YES","NO"))</x:f>
      </x:c>
      <x:c r="AM244" s="9" t="str">
        <x:f>IF(A244="","",IF(AND(AK244="OK",J244="READY",F244&lt;&gt;"",G244&lt;&gt;"",K244&lt;&gt;"",S244="OK",OR(R244="PASS",R244="FAIL")),"YES","NO"))</x:f>
      </x:c>
      <x:c r="AN244" s="9" t="str">
        <x:f>IF(A244="","",F244&amp;" | "&amp;G244&amp;" | "&amp;H244&amp;" | "&amp;I244)</x:f>
      </x:c>
    </x:row>
    <x:row r="245" ht="33" customHeight="1">
      <x:c r="A245" s="3"/>
      <x:c r="B245" s="3"/>
      <x:c r="C245" s="3"/>
      <x:c r="D245" s="3"/>
      <x:c r="E245" s="3"/>
      <x:c r="F245" s="3"/>
      <x:c r="G245" s="3"/>
      <x:c r="H245" s="3"/>
      <x:c r="I245" s="3"/>
      <x:c r="J245" s="3"/>
      <x:c r="K245" s="3"/>
      <x:c r="L245" s="6"/>
      <x:c r="M245" s="6"/>
      <x:c r="N245" s="6"/>
      <x:c r="O245" s="6"/>
      <x:c r="P245" s="6"/>
      <x:c r="Q245" s="7"/>
      <x:c r="R245" s="7"/>
      <x:c r="S245" s="7"/>
      <x:c r="T245" s="7"/>
      <x:c r="U245" s="7"/>
      <x:c r="V245" s="7"/>
      <x:c r="W245" s="7"/>
      <x:c r="X245" s="7"/>
      <x:c r="Y245" s="7"/>
      <x:c r="Z245" s="7"/>
      <x:c r="AA245" s="7"/>
      <x:c r="AB245" s="7"/>
      <x:c r="AC245" s="7"/>
      <x:c r="AD245" s="7"/>
      <x:c r="AE245" s="3"/>
      <x:c r="AF245" s="3"/>
      <x:c r="AG245" s="3"/>
      <x:c r="AH245" s="3"/>
      <x:c r="AI245" s="3"/>
      <x:c r="AJ245" s="9" t="str">
        <x:f>IF(A245="","",A245&amp;"|"&amp;B245)</x:f>
      </x:c>
      <x:c r="AK245" s="9" t="str">
        <x:f>IF(A245="",IF(B245="","","MISSING_TEST_ID"),IF(B245="","MISSING_RUN_ID",IF(COUNTIFS($A$2:$A$501,A245,$B$2:$B$501,B245)&lt;&gt;1,"DUPLICATE_ID","OK")))</x:f>
      </x:c>
      <x:c r="AL245" s="9" t="str">
        <x:f>IF(A245="","",IF(AND(AK245="OK",J245="READY",F245&lt;&gt;"",G245&lt;&gt;"",K245&lt;&gt;"",OR(L245="PASS",L245="FAIL"),M245&lt;&gt;"",P245="social-publication-v2"),"YES","NO"))</x:f>
      </x:c>
      <x:c r="AM245" s="9" t="str">
        <x:f>IF(A245="","",IF(AND(AK245="OK",J245="READY",F245&lt;&gt;"",G245&lt;&gt;"",K245&lt;&gt;"",S245="OK",OR(R245="PASS",R245="FAIL")),"YES","NO"))</x:f>
      </x:c>
      <x:c r="AN245" s="9" t="str">
        <x:f>IF(A245="","",F245&amp;" | "&amp;G245&amp;" | "&amp;H245&amp;" | "&amp;I245)</x:f>
      </x:c>
    </x:row>
    <x:row r="246" ht="33" customHeight="1">
      <x:c r="A246" s="3"/>
      <x:c r="B246" s="3"/>
      <x:c r="C246" s="3"/>
      <x:c r="D246" s="3"/>
      <x:c r="E246" s="3"/>
      <x:c r="F246" s="3"/>
      <x:c r="G246" s="3"/>
      <x:c r="H246" s="3"/>
      <x:c r="I246" s="3"/>
      <x:c r="J246" s="3"/>
      <x:c r="K246" s="3"/>
      <x:c r="L246" s="6"/>
      <x:c r="M246" s="6"/>
      <x:c r="N246" s="6"/>
      <x:c r="O246" s="6"/>
      <x:c r="P246" s="6"/>
      <x:c r="Q246" s="7"/>
      <x:c r="R246" s="7"/>
      <x:c r="S246" s="7"/>
      <x:c r="T246" s="7"/>
      <x:c r="U246" s="7"/>
      <x:c r="V246" s="7"/>
      <x:c r="W246" s="7"/>
      <x:c r="X246" s="7"/>
      <x:c r="Y246" s="7"/>
      <x:c r="Z246" s="7"/>
      <x:c r="AA246" s="7"/>
      <x:c r="AB246" s="7"/>
      <x:c r="AC246" s="7"/>
      <x:c r="AD246" s="7"/>
      <x:c r="AE246" s="3"/>
      <x:c r="AF246" s="3"/>
      <x:c r="AG246" s="3"/>
      <x:c r="AH246" s="3"/>
      <x:c r="AI246" s="3"/>
      <x:c r="AJ246" s="9" t="str">
        <x:f>IF(A246="","",A246&amp;"|"&amp;B246)</x:f>
      </x:c>
      <x:c r="AK246" s="9" t="str">
        <x:f>IF(A246="",IF(B246="","","MISSING_TEST_ID"),IF(B246="","MISSING_RUN_ID",IF(COUNTIFS($A$2:$A$501,A246,$B$2:$B$501,B246)&lt;&gt;1,"DUPLICATE_ID","OK")))</x:f>
      </x:c>
      <x:c r="AL246" s="9" t="str">
        <x:f>IF(A246="","",IF(AND(AK246="OK",J246="READY",F246&lt;&gt;"",G246&lt;&gt;"",K246&lt;&gt;"",OR(L246="PASS",L246="FAIL"),M246&lt;&gt;"",P246="social-publication-v2"),"YES","NO"))</x:f>
      </x:c>
      <x:c r="AM246" s="9" t="str">
        <x:f>IF(A246="","",IF(AND(AK246="OK",J246="READY",F246&lt;&gt;"",G246&lt;&gt;"",K246&lt;&gt;"",S246="OK",OR(R246="PASS",R246="FAIL")),"YES","NO"))</x:f>
      </x:c>
      <x:c r="AN246" s="9" t="str">
        <x:f>IF(A246="","",F246&amp;" | "&amp;G246&amp;" | "&amp;H246&amp;" | "&amp;I246)</x:f>
      </x:c>
    </x:row>
    <x:row r="247" ht="33" customHeight="1">
      <x:c r="A247" s="3"/>
      <x:c r="B247" s="3"/>
      <x:c r="C247" s="3"/>
      <x:c r="D247" s="3"/>
      <x:c r="E247" s="3"/>
      <x:c r="F247" s="3"/>
      <x:c r="G247" s="3"/>
      <x:c r="H247" s="3"/>
      <x:c r="I247" s="3"/>
      <x:c r="J247" s="3"/>
      <x:c r="K247" s="3"/>
      <x:c r="L247" s="6"/>
      <x:c r="M247" s="6"/>
      <x:c r="N247" s="6"/>
      <x:c r="O247" s="6"/>
      <x:c r="P247" s="6"/>
      <x:c r="Q247" s="7"/>
      <x:c r="R247" s="7"/>
      <x:c r="S247" s="7"/>
      <x:c r="T247" s="7"/>
      <x:c r="U247" s="7"/>
      <x:c r="V247" s="7"/>
      <x:c r="W247" s="7"/>
      <x:c r="X247" s="7"/>
      <x:c r="Y247" s="7"/>
      <x:c r="Z247" s="7"/>
      <x:c r="AA247" s="7"/>
      <x:c r="AB247" s="7"/>
      <x:c r="AC247" s="7"/>
      <x:c r="AD247" s="7"/>
      <x:c r="AE247" s="3"/>
      <x:c r="AF247" s="3"/>
      <x:c r="AG247" s="3"/>
      <x:c r="AH247" s="3"/>
      <x:c r="AI247" s="3"/>
      <x:c r="AJ247" s="9" t="str">
        <x:f>IF(A247="","",A247&amp;"|"&amp;B247)</x:f>
      </x:c>
      <x:c r="AK247" s="9" t="str">
        <x:f>IF(A247="",IF(B247="","","MISSING_TEST_ID"),IF(B247="","MISSING_RUN_ID",IF(COUNTIFS($A$2:$A$501,A247,$B$2:$B$501,B247)&lt;&gt;1,"DUPLICATE_ID","OK")))</x:f>
      </x:c>
      <x:c r="AL247" s="9" t="str">
        <x:f>IF(A247="","",IF(AND(AK247="OK",J247="READY",F247&lt;&gt;"",G247&lt;&gt;"",K247&lt;&gt;"",OR(L247="PASS",L247="FAIL"),M247&lt;&gt;"",P247="social-publication-v2"),"YES","NO"))</x:f>
      </x:c>
      <x:c r="AM247" s="9" t="str">
        <x:f>IF(A247="","",IF(AND(AK247="OK",J247="READY",F247&lt;&gt;"",G247&lt;&gt;"",K247&lt;&gt;"",S247="OK",OR(R247="PASS",R247="FAIL")),"YES","NO"))</x:f>
      </x:c>
      <x:c r="AN247" s="9" t="str">
        <x:f>IF(A247="","",F247&amp;" | "&amp;G247&amp;" | "&amp;H247&amp;" | "&amp;I247)</x:f>
      </x:c>
    </x:row>
    <x:row r="248" ht="33" customHeight="1">
      <x:c r="A248" s="3"/>
      <x:c r="B248" s="3"/>
      <x:c r="C248" s="3"/>
      <x:c r="D248" s="3"/>
      <x:c r="E248" s="3"/>
      <x:c r="F248" s="3"/>
      <x:c r="G248" s="3"/>
      <x:c r="H248" s="3"/>
      <x:c r="I248" s="3"/>
      <x:c r="J248" s="3"/>
      <x:c r="K248" s="3"/>
      <x:c r="L248" s="6"/>
      <x:c r="M248" s="6"/>
      <x:c r="N248" s="6"/>
      <x:c r="O248" s="6"/>
      <x:c r="P248" s="6"/>
      <x:c r="Q248" s="7"/>
      <x:c r="R248" s="7"/>
      <x:c r="S248" s="7"/>
      <x:c r="T248" s="7"/>
      <x:c r="U248" s="7"/>
      <x:c r="V248" s="7"/>
      <x:c r="W248" s="7"/>
      <x:c r="X248" s="7"/>
      <x:c r="Y248" s="7"/>
      <x:c r="Z248" s="7"/>
      <x:c r="AA248" s="7"/>
      <x:c r="AB248" s="7"/>
      <x:c r="AC248" s="7"/>
      <x:c r="AD248" s="7"/>
      <x:c r="AE248" s="3"/>
      <x:c r="AF248" s="3"/>
      <x:c r="AG248" s="3"/>
      <x:c r="AH248" s="3"/>
      <x:c r="AI248" s="3"/>
      <x:c r="AJ248" s="9" t="str">
        <x:f>IF(A248="","",A248&amp;"|"&amp;B248)</x:f>
      </x:c>
      <x:c r="AK248" s="9" t="str">
        <x:f>IF(A248="",IF(B248="","","MISSING_TEST_ID"),IF(B248="","MISSING_RUN_ID",IF(COUNTIFS($A$2:$A$501,A248,$B$2:$B$501,B248)&lt;&gt;1,"DUPLICATE_ID","OK")))</x:f>
      </x:c>
      <x:c r="AL248" s="9" t="str">
        <x:f>IF(A248="","",IF(AND(AK248="OK",J248="READY",F248&lt;&gt;"",G248&lt;&gt;"",K248&lt;&gt;"",OR(L248="PASS",L248="FAIL"),M248&lt;&gt;"",P248="social-publication-v2"),"YES","NO"))</x:f>
      </x:c>
      <x:c r="AM248" s="9" t="str">
        <x:f>IF(A248="","",IF(AND(AK248="OK",J248="READY",F248&lt;&gt;"",G248&lt;&gt;"",K248&lt;&gt;"",S248="OK",OR(R248="PASS",R248="FAIL")),"YES","NO"))</x:f>
      </x:c>
      <x:c r="AN248" s="9" t="str">
        <x:f>IF(A248="","",F248&amp;" | "&amp;G248&amp;" | "&amp;H248&amp;" | "&amp;I248)</x:f>
      </x:c>
    </x:row>
    <x:row r="249" ht="33" customHeight="1">
      <x:c r="A249" s="3"/>
      <x:c r="B249" s="3"/>
      <x:c r="C249" s="3"/>
      <x:c r="D249" s="3"/>
      <x:c r="E249" s="3"/>
      <x:c r="F249" s="3"/>
      <x:c r="G249" s="3"/>
      <x:c r="H249" s="3"/>
      <x:c r="I249" s="3"/>
      <x:c r="J249" s="3"/>
      <x:c r="K249" s="3"/>
      <x:c r="L249" s="6"/>
      <x:c r="M249" s="6"/>
      <x:c r="N249" s="6"/>
      <x:c r="O249" s="6"/>
      <x:c r="P249" s="6"/>
      <x:c r="Q249" s="7"/>
      <x:c r="R249" s="7"/>
      <x:c r="S249" s="7"/>
      <x:c r="T249" s="7"/>
      <x:c r="U249" s="7"/>
      <x:c r="V249" s="7"/>
      <x:c r="W249" s="7"/>
      <x:c r="X249" s="7"/>
      <x:c r="Y249" s="7"/>
      <x:c r="Z249" s="7"/>
      <x:c r="AA249" s="7"/>
      <x:c r="AB249" s="7"/>
      <x:c r="AC249" s="7"/>
      <x:c r="AD249" s="7"/>
      <x:c r="AE249" s="3"/>
      <x:c r="AF249" s="3"/>
      <x:c r="AG249" s="3"/>
      <x:c r="AH249" s="3"/>
      <x:c r="AI249" s="3"/>
      <x:c r="AJ249" s="9" t="str">
        <x:f>IF(A249="","",A249&amp;"|"&amp;B249)</x:f>
      </x:c>
      <x:c r="AK249" s="9" t="str">
        <x:f>IF(A249="",IF(B249="","","MISSING_TEST_ID"),IF(B249="","MISSING_RUN_ID",IF(COUNTIFS($A$2:$A$501,A249,$B$2:$B$501,B249)&lt;&gt;1,"DUPLICATE_ID","OK")))</x:f>
      </x:c>
      <x:c r="AL249" s="9" t="str">
        <x:f>IF(A249="","",IF(AND(AK249="OK",J249="READY",F249&lt;&gt;"",G249&lt;&gt;"",K249&lt;&gt;"",OR(L249="PASS",L249="FAIL"),M249&lt;&gt;"",P249="social-publication-v2"),"YES","NO"))</x:f>
      </x:c>
      <x:c r="AM249" s="9" t="str">
        <x:f>IF(A249="","",IF(AND(AK249="OK",J249="READY",F249&lt;&gt;"",G249&lt;&gt;"",K249&lt;&gt;"",S249="OK",OR(R249="PASS",R249="FAIL")),"YES","NO"))</x:f>
      </x:c>
      <x:c r="AN249" s="9" t="str">
        <x:f>IF(A249="","",F249&amp;" | "&amp;G249&amp;" | "&amp;H249&amp;" | "&amp;I249)</x:f>
      </x:c>
    </x:row>
    <x:row r="250" ht="33" customHeight="1">
      <x:c r="A250" s="3"/>
      <x:c r="B250" s="3"/>
      <x:c r="C250" s="3"/>
      <x:c r="D250" s="3"/>
      <x:c r="E250" s="3"/>
      <x:c r="F250" s="3"/>
      <x:c r="G250" s="3"/>
      <x:c r="H250" s="3"/>
      <x:c r="I250" s="3"/>
      <x:c r="J250" s="3"/>
      <x:c r="K250" s="3"/>
      <x:c r="L250" s="6"/>
      <x:c r="M250" s="6"/>
      <x:c r="N250" s="6"/>
      <x:c r="O250" s="6"/>
      <x:c r="P250" s="6"/>
      <x:c r="Q250" s="7"/>
      <x:c r="R250" s="7"/>
      <x:c r="S250" s="7"/>
      <x:c r="T250" s="7"/>
      <x:c r="U250" s="7"/>
      <x:c r="V250" s="7"/>
      <x:c r="W250" s="7"/>
      <x:c r="X250" s="7"/>
      <x:c r="Y250" s="7"/>
      <x:c r="Z250" s="7"/>
      <x:c r="AA250" s="7"/>
      <x:c r="AB250" s="7"/>
      <x:c r="AC250" s="7"/>
      <x:c r="AD250" s="7"/>
      <x:c r="AE250" s="3"/>
      <x:c r="AF250" s="3"/>
      <x:c r="AG250" s="3"/>
      <x:c r="AH250" s="3"/>
      <x:c r="AI250" s="3"/>
      <x:c r="AJ250" s="9" t="str">
        <x:f>IF(A250="","",A250&amp;"|"&amp;B250)</x:f>
      </x:c>
      <x:c r="AK250" s="9" t="str">
        <x:f>IF(A250="",IF(B250="","","MISSING_TEST_ID"),IF(B250="","MISSING_RUN_ID",IF(COUNTIFS($A$2:$A$501,A250,$B$2:$B$501,B250)&lt;&gt;1,"DUPLICATE_ID","OK")))</x:f>
      </x:c>
      <x:c r="AL250" s="9" t="str">
        <x:f>IF(A250="","",IF(AND(AK250="OK",J250="READY",F250&lt;&gt;"",G250&lt;&gt;"",K250&lt;&gt;"",OR(L250="PASS",L250="FAIL"),M250&lt;&gt;"",P250="social-publication-v2"),"YES","NO"))</x:f>
      </x:c>
      <x:c r="AM250" s="9" t="str">
        <x:f>IF(A250="","",IF(AND(AK250="OK",J250="READY",F250&lt;&gt;"",G250&lt;&gt;"",K250&lt;&gt;"",S250="OK",OR(R250="PASS",R250="FAIL")),"YES","NO"))</x:f>
      </x:c>
      <x:c r="AN250" s="9" t="str">
        <x:f>IF(A250="","",F250&amp;" | "&amp;G250&amp;" | "&amp;H250&amp;" | "&amp;I250)</x:f>
      </x:c>
    </x:row>
    <x:row r="251" ht="33" customHeight="1">
      <x:c r="A251" s="3"/>
      <x:c r="B251" s="3"/>
      <x:c r="C251" s="3"/>
      <x:c r="D251" s="3"/>
      <x:c r="E251" s="3"/>
      <x:c r="F251" s="3"/>
      <x:c r="G251" s="3"/>
      <x:c r="H251" s="3"/>
      <x:c r="I251" s="3"/>
      <x:c r="J251" s="3"/>
      <x:c r="K251" s="3"/>
      <x:c r="L251" s="6"/>
      <x:c r="M251" s="6"/>
      <x:c r="N251" s="6"/>
      <x:c r="O251" s="6"/>
      <x:c r="P251" s="6"/>
      <x:c r="Q251" s="7"/>
      <x:c r="R251" s="7"/>
      <x:c r="S251" s="7"/>
      <x:c r="T251" s="7"/>
      <x:c r="U251" s="7"/>
      <x:c r="V251" s="7"/>
      <x:c r="W251" s="7"/>
      <x:c r="X251" s="7"/>
      <x:c r="Y251" s="7"/>
      <x:c r="Z251" s="7"/>
      <x:c r="AA251" s="7"/>
      <x:c r="AB251" s="7"/>
      <x:c r="AC251" s="7"/>
      <x:c r="AD251" s="7"/>
      <x:c r="AE251" s="3"/>
      <x:c r="AF251" s="3"/>
      <x:c r="AG251" s="3"/>
      <x:c r="AH251" s="3"/>
      <x:c r="AI251" s="3"/>
      <x:c r="AJ251" s="9" t="str">
        <x:f>IF(A251="","",A251&amp;"|"&amp;B251)</x:f>
      </x:c>
      <x:c r="AK251" s="9" t="str">
        <x:f>IF(A251="",IF(B251="","","MISSING_TEST_ID"),IF(B251="","MISSING_RUN_ID",IF(COUNTIFS($A$2:$A$501,A251,$B$2:$B$501,B251)&lt;&gt;1,"DUPLICATE_ID","OK")))</x:f>
      </x:c>
      <x:c r="AL251" s="9" t="str">
        <x:f>IF(A251="","",IF(AND(AK251="OK",J251="READY",F251&lt;&gt;"",G251&lt;&gt;"",K251&lt;&gt;"",OR(L251="PASS",L251="FAIL"),M251&lt;&gt;"",P251="social-publication-v2"),"YES","NO"))</x:f>
      </x:c>
      <x:c r="AM251" s="9" t="str">
        <x:f>IF(A251="","",IF(AND(AK251="OK",J251="READY",F251&lt;&gt;"",G251&lt;&gt;"",K251&lt;&gt;"",S251="OK",OR(R251="PASS",R251="FAIL")),"YES","NO"))</x:f>
      </x:c>
      <x:c r="AN251" s="9" t="str">
        <x:f>IF(A251="","",F251&amp;" | "&amp;G251&amp;" | "&amp;H251&amp;" | "&amp;I251)</x:f>
      </x:c>
    </x:row>
    <x:row r="252" ht="33" customHeight="1">
      <x:c r="A252" s="3"/>
      <x:c r="B252" s="3"/>
      <x:c r="C252" s="3"/>
      <x:c r="D252" s="3"/>
      <x:c r="E252" s="3"/>
      <x:c r="F252" s="3"/>
      <x:c r="G252" s="3"/>
      <x:c r="H252" s="3"/>
      <x:c r="I252" s="3"/>
      <x:c r="J252" s="3"/>
      <x:c r="K252" s="3"/>
      <x:c r="L252" s="6"/>
      <x:c r="M252" s="6"/>
      <x:c r="N252" s="6"/>
      <x:c r="O252" s="6"/>
      <x:c r="P252" s="6"/>
      <x:c r="Q252" s="7"/>
      <x:c r="R252" s="7"/>
      <x:c r="S252" s="7"/>
      <x:c r="T252" s="7"/>
      <x:c r="U252" s="7"/>
      <x:c r="V252" s="7"/>
      <x:c r="W252" s="7"/>
      <x:c r="X252" s="7"/>
      <x:c r="Y252" s="7"/>
      <x:c r="Z252" s="7"/>
      <x:c r="AA252" s="7"/>
      <x:c r="AB252" s="7"/>
      <x:c r="AC252" s="7"/>
      <x:c r="AD252" s="7"/>
      <x:c r="AE252" s="3"/>
      <x:c r="AF252" s="3"/>
      <x:c r="AG252" s="3"/>
      <x:c r="AH252" s="3"/>
      <x:c r="AI252" s="3"/>
      <x:c r="AJ252" s="9" t="str">
        <x:f>IF(A252="","",A252&amp;"|"&amp;B252)</x:f>
      </x:c>
      <x:c r="AK252" s="9" t="str">
        <x:f>IF(A252="",IF(B252="","","MISSING_TEST_ID"),IF(B252="","MISSING_RUN_ID",IF(COUNTIFS($A$2:$A$501,A252,$B$2:$B$501,B252)&lt;&gt;1,"DUPLICATE_ID","OK")))</x:f>
      </x:c>
      <x:c r="AL252" s="9" t="str">
        <x:f>IF(A252="","",IF(AND(AK252="OK",J252="READY",F252&lt;&gt;"",G252&lt;&gt;"",K252&lt;&gt;"",OR(L252="PASS",L252="FAIL"),M252&lt;&gt;"",P252="social-publication-v2"),"YES","NO"))</x:f>
      </x:c>
      <x:c r="AM252" s="9" t="str">
        <x:f>IF(A252="","",IF(AND(AK252="OK",J252="READY",F252&lt;&gt;"",G252&lt;&gt;"",K252&lt;&gt;"",S252="OK",OR(R252="PASS",R252="FAIL")),"YES","NO"))</x:f>
      </x:c>
      <x:c r="AN252" s="9" t="str">
        <x:f>IF(A252="","",F252&amp;" | "&amp;G252&amp;" | "&amp;H252&amp;" | "&amp;I252)</x:f>
      </x:c>
    </x:row>
    <x:row r="253" ht="33" customHeight="1">
      <x:c r="A253" s="3"/>
      <x:c r="B253" s="3"/>
      <x:c r="C253" s="3"/>
      <x:c r="D253" s="3"/>
      <x:c r="E253" s="3"/>
      <x:c r="F253" s="3"/>
      <x:c r="G253" s="3"/>
      <x:c r="H253" s="3"/>
      <x:c r="I253" s="3"/>
      <x:c r="J253" s="3"/>
      <x:c r="K253" s="3"/>
      <x:c r="L253" s="6"/>
      <x:c r="M253" s="6"/>
      <x:c r="N253" s="6"/>
      <x:c r="O253" s="6"/>
      <x:c r="P253" s="6"/>
      <x:c r="Q253" s="7"/>
      <x:c r="R253" s="7"/>
      <x:c r="S253" s="7"/>
      <x:c r="T253" s="7"/>
      <x:c r="U253" s="7"/>
      <x:c r="V253" s="7"/>
      <x:c r="W253" s="7"/>
      <x:c r="X253" s="7"/>
      <x:c r="Y253" s="7"/>
      <x:c r="Z253" s="7"/>
      <x:c r="AA253" s="7"/>
      <x:c r="AB253" s="7"/>
      <x:c r="AC253" s="7"/>
      <x:c r="AD253" s="7"/>
      <x:c r="AE253" s="3"/>
      <x:c r="AF253" s="3"/>
      <x:c r="AG253" s="3"/>
      <x:c r="AH253" s="3"/>
      <x:c r="AI253" s="3"/>
      <x:c r="AJ253" s="9" t="str">
        <x:f>IF(A253="","",A253&amp;"|"&amp;B253)</x:f>
      </x:c>
      <x:c r="AK253" s="9" t="str">
        <x:f>IF(A253="",IF(B253="","","MISSING_TEST_ID"),IF(B253="","MISSING_RUN_ID",IF(COUNTIFS($A$2:$A$501,A253,$B$2:$B$501,B253)&lt;&gt;1,"DUPLICATE_ID","OK")))</x:f>
      </x:c>
      <x:c r="AL253" s="9" t="str">
        <x:f>IF(A253="","",IF(AND(AK253="OK",J253="READY",F253&lt;&gt;"",G253&lt;&gt;"",K253&lt;&gt;"",OR(L253="PASS",L253="FAIL"),M253&lt;&gt;"",P253="social-publication-v2"),"YES","NO"))</x:f>
      </x:c>
      <x:c r="AM253" s="9" t="str">
        <x:f>IF(A253="","",IF(AND(AK253="OK",J253="READY",F253&lt;&gt;"",G253&lt;&gt;"",K253&lt;&gt;"",S253="OK",OR(R253="PASS",R253="FAIL")),"YES","NO"))</x:f>
      </x:c>
      <x:c r="AN253" s="9" t="str">
        <x:f>IF(A253="","",F253&amp;" | "&amp;G253&amp;" | "&amp;H253&amp;" | "&amp;I253)</x:f>
      </x:c>
    </x:row>
    <x:row r="254" ht="33" customHeight="1">
      <x:c r="A254" s="3"/>
      <x:c r="B254" s="3"/>
      <x:c r="C254" s="3"/>
      <x:c r="D254" s="3"/>
      <x:c r="E254" s="3"/>
      <x:c r="F254" s="3"/>
      <x:c r="G254" s="3"/>
      <x:c r="H254" s="3"/>
      <x:c r="I254" s="3"/>
      <x:c r="J254" s="3"/>
      <x:c r="K254" s="3"/>
      <x:c r="L254" s="6"/>
      <x:c r="M254" s="6"/>
      <x:c r="N254" s="6"/>
      <x:c r="O254" s="6"/>
      <x:c r="P254" s="6"/>
      <x:c r="Q254" s="7"/>
      <x:c r="R254" s="7"/>
      <x:c r="S254" s="7"/>
      <x:c r="T254" s="7"/>
      <x:c r="U254" s="7"/>
      <x:c r="V254" s="7"/>
      <x:c r="W254" s="7"/>
      <x:c r="X254" s="7"/>
      <x:c r="Y254" s="7"/>
      <x:c r="Z254" s="7"/>
      <x:c r="AA254" s="7"/>
      <x:c r="AB254" s="7"/>
      <x:c r="AC254" s="7"/>
      <x:c r="AD254" s="7"/>
      <x:c r="AE254" s="3"/>
      <x:c r="AF254" s="3"/>
      <x:c r="AG254" s="3"/>
      <x:c r="AH254" s="3"/>
      <x:c r="AI254" s="3"/>
      <x:c r="AJ254" s="9" t="str">
        <x:f>IF(A254="","",A254&amp;"|"&amp;B254)</x:f>
      </x:c>
      <x:c r="AK254" s="9" t="str">
        <x:f>IF(A254="",IF(B254="","","MISSING_TEST_ID"),IF(B254="","MISSING_RUN_ID",IF(COUNTIFS($A$2:$A$501,A254,$B$2:$B$501,B254)&lt;&gt;1,"DUPLICATE_ID","OK")))</x:f>
      </x:c>
      <x:c r="AL254" s="9" t="str">
        <x:f>IF(A254="","",IF(AND(AK254="OK",J254="READY",F254&lt;&gt;"",G254&lt;&gt;"",K254&lt;&gt;"",OR(L254="PASS",L254="FAIL"),M254&lt;&gt;"",P254="social-publication-v2"),"YES","NO"))</x:f>
      </x:c>
      <x:c r="AM254" s="9" t="str">
        <x:f>IF(A254="","",IF(AND(AK254="OK",J254="READY",F254&lt;&gt;"",G254&lt;&gt;"",K254&lt;&gt;"",S254="OK",OR(R254="PASS",R254="FAIL")),"YES","NO"))</x:f>
      </x:c>
      <x:c r="AN254" s="9" t="str">
        <x:f>IF(A254="","",F254&amp;" | "&amp;G254&amp;" | "&amp;H254&amp;" | "&amp;I254)</x:f>
      </x:c>
    </x:row>
    <x:row r="255" ht="33" customHeight="1">
      <x:c r="A255" s="3"/>
      <x:c r="B255" s="3"/>
      <x:c r="C255" s="3"/>
      <x:c r="D255" s="3"/>
      <x:c r="E255" s="3"/>
      <x:c r="F255" s="3"/>
      <x:c r="G255" s="3"/>
      <x:c r="H255" s="3"/>
      <x:c r="I255" s="3"/>
      <x:c r="J255" s="3"/>
      <x:c r="K255" s="3"/>
      <x:c r="L255" s="6"/>
      <x:c r="M255" s="6"/>
      <x:c r="N255" s="6"/>
      <x:c r="O255" s="6"/>
      <x:c r="P255" s="6"/>
      <x:c r="Q255" s="7"/>
      <x:c r="R255" s="7"/>
      <x:c r="S255" s="7"/>
      <x:c r="T255" s="7"/>
      <x:c r="U255" s="7"/>
      <x:c r="V255" s="7"/>
      <x:c r="W255" s="7"/>
      <x:c r="X255" s="7"/>
      <x:c r="Y255" s="7"/>
      <x:c r="Z255" s="7"/>
      <x:c r="AA255" s="7"/>
      <x:c r="AB255" s="7"/>
      <x:c r="AC255" s="7"/>
      <x:c r="AD255" s="7"/>
      <x:c r="AE255" s="3"/>
      <x:c r="AF255" s="3"/>
      <x:c r="AG255" s="3"/>
      <x:c r="AH255" s="3"/>
      <x:c r="AI255" s="3"/>
      <x:c r="AJ255" s="9" t="str">
        <x:f>IF(A255="","",A255&amp;"|"&amp;B255)</x:f>
      </x:c>
      <x:c r="AK255" s="9" t="str">
        <x:f>IF(A255="",IF(B255="","","MISSING_TEST_ID"),IF(B255="","MISSING_RUN_ID",IF(COUNTIFS($A$2:$A$501,A255,$B$2:$B$501,B255)&lt;&gt;1,"DUPLICATE_ID","OK")))</x:f>
      </x:c>
      <x:c r="AL255" s="9" t="str">
        <x:f>IF(A255="","",IF(AND(AK255="OK",J255="READY",F255&lt;&gt;"",G255&lt;&gt;"",K255&lt;&gt;"",OR(L255="PASS",L255="FAIL"),M255&lt;&gt;"",P255="social-publication-v2"),"YES","NO"))</x:f>
      </x:c>
      <x:c r="AM255" s="9" t="str">
        <x:f>IF(A255="","",IF(AND(AK255="OK",J255="READY",F255&lt;&gt;"",G255&lt;&gt;"",K255&lt;&gt;"",S255="OK",OR(R255="PASS",R255="FAIL")),"YES","NO"))</x:f>
      </x:c>
      <x:c r="AN255" s="9" t="str">
        <x:f>IF(A255="","",F255&amp;" | "&amp;G255&amp;" | "&amp;H255&amp;" | "&amp;I255)</x:f>
      </x:c>
    </x:row>
    <x:row r="256" ht="33" customHeight="1">
      <x:c r="A256" s="3"/>
      <x:c r="B256" s="3"/>
      <x:c r="C256" s="3"/>
      <x:c r="D256" s="3"/>
      <x:c r="E256" s="3"/>
      <x:c r="F256" s="3"/>
      <x:c r="G256" s="3"/>
      <x:c r="H256" s="3"/>
      <x:c r="I256" s="3"/>
      <x:c r="J256" s="3"/>
      <x:c r="K256" s="3"/>
      <x:c r="L256" s="6"/>
      <x:c r="M256" s="6"/>
      <x:c r="N256" s="6"/>
      <x:c r="O256" s="6"/>
      <x:c r="P256" s="6"/>
      <x:c r="Q256" s="7"/>
      <x:c r="R256" s="7"/>
      <x:c r="S256" s="7"/>
      <x:c r="T256" s="7"/>
      <x:c r="U256" s="7"/>
      <x:c r="V256" s="7"/>
      <x:c r="W256" s="7"/>
      <x:c r="X256" s="7"/>
      <x:c r="Y256" s="7"/>
      <x:c r="Z256" s="7"/>
      <x:c r="AA256" s="7"/>
      <x:c r="AB256" s="7"/>
      <x:c r="AC256" s="7"/>
      <x:c r="AD256" s="7"/>
      <x:c r="AE256" s="3"/>
      <x:c r="AF256" s="3"/>
      <x:c r="AG256" s="3"/>
      <x:c r="AH256" s="3"/>
      <x:c r="AI256" s="3"/>
      <x:c r="AJ256" s="9" t="str">
        <x:f>IF(A256="","",A256&amp;"|"&amp;B256)</x:f>
      </x:c>
      <x:c r="AK256" s="9" t="str">
        <x:f>IF(A256="",IF(B256="","","MISSING_TEST_ID"),IF(B256="","MISSING_RUN_ID",IF(COUNTIFS($A$2:$A$501,A256,$B$2:$B$501,B256)&lt;&gt;1,"DUPLICATE_ID","OK")))</x:f>
      </x:c>
      <x:c r="AL256" s="9" t="str">
        <x:f>IF(A256="","",IF(AND(AK256="OK",J256="READY",F256&lt;&gt;"",G256&lt;&gt;"",K256&lt;&gt;"",OR(L256="PASS",L256="FAIL"),M256&lt;&gt;"",P256="social-publication-v2"),"YES","NO"))</x:f>
      </x:c>
      <x:c r="AM256" s="9" t="str">
        <x:f>IF(A256="","",IF(AND(AK256="OK",J256="READY",F256&lt;&gt;"",G256&lt;&gt;"",K256&lt;&gt;"",S256="OK",OR(R256="PASS",R256="FAIL")),"YES","NO"))</x:f>
      </x:c>
      <x:c r="AN256" s="9" t="str">
        <x:f>IF(A256="","",F256&amp;" | "&amp;G256&amp;" | "&amp;H256&amp;" | "&amp;I256)</x:f>
      </x:c>
    </x:row>
    <x:row r="257" ht="33" customHeight="1">
      <x:c r="A257" s="3"/>
      <x:c r="B257" s="3"/>
      <x:c r="C257" s="3"/>
      <x:c r="D257" s="3"/>
      <x:c r="E257" s="3"/>
      <x:c r="F257" s="3"/>
      <x:c r="G257" s="3"/>
      <x:c r="H257" s="3"/>
      <x:c r="I257" s="3"/>
      <x:c r="J257" s="3"/>
      <x:c r="K257" s="3"/>
      <x:c r="L257" s="6"/>
      <x:c r="M257" s="6"/>
      <x:c r="N257" s="6"/>
      <x:c r="O257" s="6"/>
      <x:c r="P257" s="6"/>
      <x:c r="Q257" s="7"/>
      <x:c r="R257" s="7"/>
      <x:c r="S257" s="7"/>
      <x:c r="T257" s="7"/>
      <x:c r="U257" s="7"/>
      <x:c r="V257" s="7"/>
      <x:c r="W257" s="7"/>
      <x:c r="X257" s="7"/>
      <x:c r="Y257" s="7"/>
      <x:c r="Z257" s="7"/>
      <x:c r="AA257" s="7"/>
      <x:c r="AB257" s="7"/>
      <x:c r="AC257" s="7"/>
      <x:c r="AD257" s="7"/>
      <x:c r="AE257" s="3"/>
      <x:c r="AF257" s="3"/>
      <x:c r="AG257" s="3"/>
      <x:c r="AH257" s="3"/>
      <x:c r="AI257" s="3"/>
      <x:c r="AJ257" s="9" t="str">
        <x:f>IF(A257="","",A257&amp;"|"&amp;B257)</x:f>
      </x:c>
      <x:c r="AK257" s="9" t="str">
        <x:f>IF(A257="",IF(B257="","","MISSING_TEST_ID"),IF(B257="","MISSING_RUN_ID",IF(COUNTIFS($A$2:$A$501,A257,$B$2:$B$501,B257)&lt;&gt;1,"DUPLICATE_ID","OK")))</x:f>
      </x:c>
      <x:c r="AL257" s="9" t="str">
        <x:f>IF(A257="","",IF(AND(AK257="OK",J257="READY",F257&lt;&gt;"",G257&lt;&gt;"",K257&lt;&gt;"",OR(L257="PASS",L257="FAIL"),M257&lt;&gt;"",P257="social-publication-v2"),"YES","NO"))</x:f>
      </x:c>
      <x:c r="AM257" s="9" t="str">
        <x:f>IF(A257="","",IF(AND(AK257="OK",J257="READY",F257&lt;&gt;"",G257&lt;&gt;"",K257&lt;&gt;"",S257="OK",OR(R257="PASS",R257="FAIL")),"YES","NO"))</x:f>
      </x:c>
      <x:c r="AN257" s="9" t="str">
        <x:f>IF(A257="","",F257&amp;" | "&amp;G257&amp;" | "&amp;H257&amp;" | "&amp;I257)</x:f>
      </x:c>
    </x:row>
    <x:row r="258" ht="33" customHeight="1">
      <x:c r="A258" s="3"/>
      <x:c r="B258" s="3"/>
      <x:c r="C258" s="3"/>
      <x:c r="D258" s="3"/>
      <x:c r="E258" s="3"/>
      <x:c r="F258" s="3"/>
      <x:c r="G258" s="3"/>
      <x:c r="H258" s="3"/>
      <x:c r="I258" s="3"/>
      <x:c r="J258" s="3"/>
      <x:c r="K258" s="3"/>
      <x:c r="L258" s="6"/>
      <x:c r="M258" s="6"/>
      <x:c r="N258" s="6"/>
      <x:c r="O258" s="6"/>
      <x:c r="P258" s="6"/>
      <x:c r="Q258" s="7"/>
      <x:c r="R258" s="7"/>
      <x:c r="S258" s="7"/>
      <x:c r="T258" s="7"/>
      <x:c r="U258" s="7"/>
      <x:c r="V258" s="7"/>
      <x:c r="W258" s="7"/>
      <x:c r="X258" s="7"/>
      <x:c r="Y258" s="7"/>
      <x:c r="Z258" s="7"/>
      <x:c r="AA258" s="7"/>
      <x:c r="AB258" s="7"/>
      <x:c r="AC258" s="7"/>
      <x:c r="AD258" s="7"/>
      <x:c r="AE258" s="3"/>
      <x:c r="AF258" s="3"/>
      <x:c r="AG258" s="3"/>
      <x:c r="AH258" s="3"/>
      <x:c r="AI258" s="3"/>
      <x:c r="AJ258" s="9" t="str">
        <x:f>IF(A258="","",A258&amp;"|"&amp;B258)</x:f>
      </x:c>
      <x:c r="AK258" s="9" t="str">
        <x:f>IF(A258="",IF(B258="","","MISSING_TEST_ID"),IF(B258="","MISSING_RUN_ID",IF(COUNTIFS($A$2:$A$501,A258,$B$2:$B$501,B258)&lt;&gt;1,"DUPLICATE_ID","OK")))</x:f>
      </x:c>
      <x:c r="AL258" s="9" t="str">
        <x:f>IF(A258="","",IF(AND(AK258="OK",J258="READY",F258&lt;&gt;"",G258&lt;&gt;"",K258&lt;&gt;"",OR(L258="PASS",L258="FAIL"),M258&lt;&gt;"",P258="social-publication-v2"),"YES","NO"))</x:f>
      </x:c>
      <x:c r="AM258" s="9" t="str">
        <x:f>IF(A258="","",IF(AND(AK258="OK",J258="READY",F258&lt;&gt;"",G258&lt;&gt;"",K258&lt;&gt;"",S258="OK",OR(R258="PASS",R258="FAIL")),"YES","NO"))</x:f>
      </x:c>
      <x:c r="AN258" s="9" t="str">
        <x:f>IF(A258="","",F258&amp;" | "&amp;G258&amp;" | "&amp;H258&amp;" | "&amp;I258)</x:f>
      </x:c>
    </x:row>
    <x:row r="259" ht="33" customHeight="1">
      <x:c r="A259" s="3"/>
      <x:c r="B259" s="3"/>
      <x:c r="C259" s="3"/>
      <x:c r="D259" s="3"/>
      <x:c r="E259" s="3"/>
      <x:c r="F259" s="3"/>
      <x:c r="G259" s="3"/>
      <x:c r="H259" s="3"/>
      <x:c r="I259" s="3"/>
      <x:c r="J259" s="3"/>
      <x:c r="K259" s="3"/>
      <x:c r="L259" s="6"/>
      <x:c r="M259" s="6"/>
      <x:c r="N259" s="6"/>
      <x:c r="O259" s="6"/>
      <x:c r="P259" s="6"/>
      <x:c r="Q259" s="7"/>
      <x:c r="R259" s="7"/>
      <x:c r="S259" s="7"/>
      <x:c r="T259" s="7"/>
      <x:c r="U259" s="7"/>
      <x:c r="V259" s="7"/>
      <x:c r="W259" s="7"/>
      <x:c r="X259" s="7"/>
      <x:c r="Y259" s="7"/>
      <x:c r="Z259" s="7"/>
      <x:c r="AA259" s="7"/>
      <x:c r="AB259" s="7"/>
      <x:c r="AC259" s="7"/>
      <x:c r="AD259" s="7"/>
      <x:c r="AE259" s="3"/>
      <x:c r="AF259" s="3"/>
      <x:c r="AG259" s="3"/>
      <x:c r="AH259" s="3"/>
      <x:c r="AI259" s="3"/>
      <x:c r="AJ259" s="9" t="str">
        <x:f>IF(A259="","",A259&amp;"|"&amp;B259)</x:f>
      </x:c>
      <x:c r="AK259" s="9" t="str">
        <x:f>IF(A259="",IF(B259="","","MISSING_TEST_ID"),IF(B259="","MISSING_RUN_ID",IF(COUNTIFS($A$2:$A$501,A259,$B$2:$B$501,B259)&lt;&gt;1,"DUPLICATE_ID","OK")))</x:f>
      </x:c>
      <x:c r="AL259" s="9" t="str">
        <x:f>IF(A259="","",IF(AND(AK259="OK",J259="READY",F259&lt;&gt;"",G259&lt;&gt;"",K259&lt;&gt;"",OR(L259="PASS",L259="FAIL"),M259&lt;&gt;"",P259="social-publication-v2"),"YES","NO"))</x:f>
      </x:c>
      <x:c r="AM259" s="9" t="str">
        <x:f>IF(A259="","",IF(AND(AK259="OK",J259="READY",F259&lt;&gt;"",G259&lt;&gt;"",K259&lt;&gt;"",S259="OK",OR(R259="PASS",R259="FAIL")),"YES","NO"))</x:f>
      </x:c>
      <x:c r="AN259" s="9" t="str">
        <x:f>IF(A259="","",F259&amp;" | "&amp;G259&amp;" | "&amp;H259&amp;" | "&amp;I259)</x:f>
      </x:c>
    </x:row>
    <x:row r="260" ht="33" customHeight="1">
      <x:c r="A260" s="3"/>
      <x:c r="B260" s="3"/>
      <x:c r="C260" s="3"/>
      <x:c r="D260" s="3"/>
      <x:c r="E260" s="3"/>
      <x:c r="F260" s="3"/>
      <x:c r="G260" s="3"/>
      <x:c r="H260" s="3"/>
      <x:c r="I260" s="3"/>
      <x:c r="J260" s="3"/>
      <x:c r="K260" s="3"/>
      <x:c r="L260" s="6"/>
      <x:c r="M260" s="6"/>
      <x:c r="N260" s="6"/>
      <x:c r="O260" s="6"/>
      <x:c r="P260" s="6"/>
      <x:c r="Q260" s="7"/>
      <x:c r="R260" s="7"/>
      <x:c r="S260" s="7"/>
      <x:c r="T260" s="7"/>
      <x:c r="U260" s="7"/>
      <x:c r="V260" s="7"/>
      <x:c r="W260" s="7"/>
      <x:c r="X260" s="7"/>
      <x:c r="Y260" s="7"/>
      <x:c r="Z260" s="7"/>
      <x:c r="AA260" s="7"/>
      <x:c r="AB260" s="7"/>
      <x:c r="AC260" s="7"/>
      <x:c r="AD260" s="7"/>
      <x:c r="AE260" s="3"/>
      <x:c r="AF260" s="3"/>
      <x:c r="AG260" s="3"/>
      <x:c r="AH260" s="3"/>
      <x:c r="AI260" s="3"/>
      <x:c r="AJ260" s="9" t="str">
        <x:f>IF(A260="","",A260&amp;"|"&amp;B260)</x:f>
      </x:c>
      <x:c r="AK260" s="9" t="str">
        <x:f>IF(A260="",IF(B260="","","MISSING_TEST_ID"),IF(B260="","MISSING_RUN_ID",IF(COUNTIFS($A$2:$A$501,A260,$B$2:$B$501,B260)&lt;&gt;1,"DUPLICATE_ID","OK")))</x:f>
      </x:c>
      <x:c r="AL260" s="9" t="str">
        <x:f>IF(A260="","",IF(AND(AK260="OK",J260="READY",F260&lt;&gt;"",G260&lt;&gt;"",K260&lt;&gt;"",OR(L260="PASS",L260="FAIL"),M260&lt;&gt;"",P260="social-publication-v2"),"YES","NO"))</x:f>
      </x:c>
      <x:c r="AM260" s="9" t="str">
        <x:f>IF(A260="","",IF(AND(AK260="OK",J260="READY",F260&lt;&gt;"",G260&lt;&gt;"",K260&lt;&gt;"",S260="OK",OR(R260="PASS",R260="FAIL")),"YES","NO"))</x:f>
      </x:c>
      <x:c r="AN260" s="9" t="str">
        <x:f>IF(A260="","",F260&amp;" | "&amp;G260&amp;" | "&amp;H260&amp;" | "&amp;I260)</x:f>
      </x:c>
    </x:row>
    <x:row r="261" ht="33" customHeight="1">
      <x:c r="A261" s="3"/>
      <x:c r="B261" s="3"/>
      <x:c r="C261" s="3"/>
      <x:c r="D261" s="3"/>
      <x:c r="E261" s="3"/>
      <x:c r="F261" s="3"/>
      <x:c r="G261" s="3"/>
      <x:c r="H261" s="3"/>
      <x:c r="I261" s="3"/>
      <x:c r="J261" s="3"/>
      <x:c r="K261" s="3"/>
      <x:c r="L261" s="6"/>
      <x:c r="M261" s="6"/>
      <x:c r="N261" s="6"/>
      <x:c r="O261" s="6"/>
      <x:c r="P261" s="6"/>
      <x:c r="Q261" s="7"/>
      <x:c r="R261" s="7"/>
      <x:c r="S261" s="7"/>
      <x:c r="T261" s="7"/>
      <x:c r="U261" s="7"/>
      <x:c r="V261" s="7"/>
      <x:c r="W261" s="7"/>
      <x:c r="X261" s="7"/>
      <x:c r="Y261" s="7"/>
      <x:c r="Z261" s="7"/>
      <x:c r="AA261" s="7"/>
      <x:c r="AB261" s="7"/>
      <x:c r="AC261" s="7"/>
      <x:c r="AD261" s="7"/>
      <x:c r="AE261" s="3"/>
      <x:c r="AF261" s="3"/>
      <x:c r="AG261" s="3"/>
      <x:c r="AH261" s="3"/>
      <x:c r="AI261" s="3"/>
      <x:c r="AJ261" s="9" t="str">
        <x:f>IF(A261="","",A261&amp;"|"&amp;B261)</x:f>
      </x:c>
      <x:c r="AK261" s="9" t="str">
        <x:f>IF(A261="",IF(B261="","","MISSING_TEST_ID"),IF(B261="","MISSING_RUN_ID",IF(COUNTIFS($A$2:$A$501,A261,$B$2:$B$501,B261)&lt;&gt;1,"DUPLICATE_ID","OK")))</x:f>
      </x:c>
      <x:c r="AL261" s="9" t="str">
        <x:f>IF(A261="","",IF(AND(AK261="OK",J261="READY",F261&lt;&gt;"",G261&lt;&gt;"",K261&lt;&gt;"",OR(L261="PASS",L261="FAIL"),M261&lt;&gt;"",P261="social-publication-v2"),"YES","NO"))</x:f>
      </x:c>
      <x:c r="AM261" s="9" t="str">
        <x:f>IF(A261="","",IF(AND(AK261="OK",J261="READY",F261&lt;&gt;"",G261&lt;&gt;"",K261&lt;&gt;"",S261="OK",OR(R261="PASS",R261="FAIL")),"YES","NO"))</x:f>
      </x:c>
      <x:c r="AN261" s="9" t="str">
        <x:f>IF(A261="","",F261&amp;" | "&amp;G261&amp;" | "&amp;H261&amp;" | "&amp;I261)</x:f>
      </x:c>
    </x:row>
    <x:row r="262" ht="33" customHeight="1">
      <x:c r="A262" s="3"/>
      <x:c r="B262" s="3"/>
      <x:c r="C262" s="3"/>
      <x:c r="D262" s="3"/>
      <x:c r="E262" s="3"/>
      <x:c r="F262" s="3"/>
      <x:c r="G262" s="3"/>
      <x:c r="H262" s="3"/>
      <x:c r="I262" s="3"/>
      <x:c r="J262" s="3"/>
      <x:c r="K262" s="3"/>
      <x:c r="L262" s="6"/>
      <x:c r="M262" s="6"/>
      <x:c r="N262" s="6"/>
      <x:c r="O262" s="6"/>
      <x:c r="P262" s="6"/>
      <x:c r="Q262" s="7"/>
      <x:c r="R262" s="7"/>
      <x:c r="S262" s="7"/>
      <x:c r="T262" s="7"/>
      <x:c r="U262" s="7"/>
      <x:c r="V262" s="7"/>
      <x:c r="W262" s="7"/>
      <x:c r="X262" s="7"/>
      <x:c r="Y262" s="7"/>
      <x:c r="Z262" s="7"/>
      <x:c r="AA262" s="7"/>
      <x:c r="AB262" s="7"/>
      <x:c r="AC262" s="7"/>
      <x:c r="AD262" s="7"/>
      <x:c r="AE262" s="3"/>
      <x:c r="AF262" s="3"/>
      <x:c r="AG262" s="3"/>
      <x:c r="AH262" s="3"/>
      <x:c r="AI262" s="3"/>
      <x:c r="AJ262" s="9" t="str">
        <x:f>IF(A262="","",A262&amp;"|"&amp;B262)</x:f>
      </x:c>
      <x:c r="AK262" s="9" t="str">
        <x:f>IF(A262="",IF(B262="","","MISSING_TEST_ID"),IF(B262="","MISSING_RUN_ID",IF(COUNTIFS($A$2:$A$501,A262,$B$2:$B$501,B262)&lt;&gt;1,"DUPLICATE_ID","OK")))</x:f>
      </x:c>
      <x:c r="AL262" s="9" t="str">
        <x:f>IF(A262="","",IF(AND(AK262="OK",J262="READY",F262&lt;&gt;"",G262&lt;&gt;"",K262&lt;&gt;"",OR(L262="PASS",L262="FAIL"),M262&lt;&gt;"",P262="social-publication-v2"),"YES","NO"))</x:f>
      </x:c>
      <x:c r="AM262" s="9" t="str">
        <x:f>IF(A262="","",IF(AND(AK262="OK",J262="READY",F262&lt;&gt;"",G262&lt;&gt;"",K262&lt;&gt;"",S262="OK",OR(R262="PASS",R262="FAIL")),"YES","NO"))</x:f>
      </x:c>
      <x:c r="AN262" s="9" t="str">
        <x:f>IF(A262="","",F262&amp;" | "&amp;G262&amp;" | "&amp;H262&amp;" | "&amp;I262)</x:f>
      </x:c>
    </x:row>
    <x:row r="263" ht="33" customHeight="1">
      <x:c r="A263" s="3"/>
      <x:c r="B263" s="3"/>
      <x:c r="C263" s="3"/>
      <x:c r="D263" s="3"/>
      <x:c r="E263" s="3"/>
      <x:c r="F263" s="3"/>
      <x:c r="G263" s="3"/>
      <x:c r="H263" s="3"/>
      <x:c r="I263" s="3"/>
      <x:c r="J263" s="3"/>
      <x:c r="K263" s="3"/>
      <x:c r="L263" s="6"/>
      <x:c r="M263" s="6"/>
      <x:c r="N263" s="6"/>
      <x:c r="O263" s="6"/>
      <x:c r="P263" s="6"/>
      <x:c r="Q263" s="7"/>
      <x:c r="R263" s="7"/>
      <x:c r="S263" s="7"/>
      <x:c r="T263" s="7"/>
      <x:c r="U263" s="7"/>
      <x:c r="V263" s="7"/>
      <x:c r="W263" s="7"/>
      <x:c r="X263" s="7"/>
      <x:c r="Y263" s="7"/>
      <x:c r="Z263" s="7"/>
      <x:c r="AA263" s="7"/>
      <x:c r="AB263" s="7"/>
      <x:c r="AC263" s="7"/>
      <x:c r="AD263" s="7"/>
      <x:c r="AE263" s="3"/>
      <x:c r="AF263" s="3"/>
      <x:c r="AG263" s="3"/>
      <x:c r="AH263" s="3"/>
      <x:c r="AI263" s="3"/>
      <x:c r="AJ263" s="9" t="str">
        <x:f>IF(A263="","",A263&amp;"|"&amp;B263)</x:f>
      </x:c>
      <x:c r="AK263" s="9" t="str">
        <x:f>IF(A263="",IF(B263="","","MISSING_TEST_ID"),IF(B263="","MISSING_RUN_ID",IF(COUNTIFS($A$2:$A$501,A263,$B$2:$B$501,B263)&lt;&gt;1,"DUPLICATE_ID","OK")))</x:f>
      </x:c>
      <x:c r="AL263" s="9" t="str">
        <x:f>IF(A263="","",IF(AND(AK263="OK",J263="READY",F263&lt;&gt;"",G263&lt;&gt;"",K263&lt;&gt;"",OR(L263="PASS",L263="FAIL"),M263&lt;&gt;"",P263="social-publication-v2"),"YES","NO"))</x:f>
      </x:c>
      <x:c r="AM263" s="9" t="str">
        <x:f>IF(A263="","",IF(AND(AK263="OK",J263="READY",F263&lt;&gt;"",G263&lt;&gt;"",K263&lt;&gt;"",S263="OK",OR(R263="PASS",R263="FAIL")),"YES","NO"))</x:f>
      </x:c>
      <x:c r="AN263" s="9" t="str">
        <x:f>IF(A263="","",F263&amp;" | "&amp;G263&amp;" | "&amp;H263&amp;" | "&amp;I263)</x:f>
      </x:c>
    </x:row>
    <x:row r="264" ht="33" customHeight="1">
      <x:c r="A264" s="3"/>
      <x:c r="B264" s="3"/>
      <x:c r="C264" s="3"/>
      <x:c r="D264" s="3"/>
      <x:c r="E264" s="3"/>
      <x:c r="F264" s="3"/>
      <x:c r="G264" s="3"/>
      <x:c r="H264" s="3"/>
      <x:c r="I264" s="3"/>
      <x:c r="J264" s="3"/>
      <x:c r="K264" s="3"/>
      <x:c r="L264" s="6"/>
      <x:c r="M264" s="6"/>
      <x:c r="N264" s="6"/>
      <x:c r="O264" s="6"/>
      <x:c r="P264" s="6"/>
      <x:c r="Q264" s="7"/>
      <x:c r="R264" s="7"/>
      <x:c r="S264" s="7"/>
      <x:c r="T264" s="7"/>
      <x:c r="U264" s="7"/>
      <x:c r="V264" s="7"/>
      <x:c r="W264" s="7"/>
      <x:c r="X264" s="7"/>
      <x:c r="Y264" s="7"/>
      <x:c r="Z264" s="7"/>
      <x:c r="AA264" s="7"/>
      <x:c r="AB264" s="7"/>
      <x:c r="AC264" s="7"/>
      <x:c r="AD264" s="7"/>
      <x:c r="AE264" s="3"/>
      <x:c r="AF264" s="3"/>
      <x:c r="AG264" s="3"/>
      <x:c r="AH264" s="3"/>
      <x:c r="AI264" s="3"/>
      <x:c r="AJ264" s="9" t="str">
        <x:f>IF(A264="","",A264&amp;"|"&amp;B264)</x:f>
      </x:c>
      <x:c r="AK264" s="9" t="str">
        <x:f>IF(A264="",IF(B264="","","MISSING_TEST_ID"),IF(B264="","MISSING_RUN_ID",IF(COUNTIFS($A$2:$A$501,A264,$B$2:$B$501,B264)&lt;&gt;1,"DUPLICATE_ID","OK")))</x:f>
      </x:c>
      <x:c r="AL264" s="9" t="str">
        <x:f>IF(A264="","",IF(AND(AK264="OK",J264="READY",F264&lt;&gt;"",G264&lt;&gt;"",K264&lt;&gt;"",OR(L264="PASS",L264="FAIL"),M264&lt;&gt;"",P264="social-publication-v2"),"YES","NO"))</x:f>
      </x:c>
      <x:c r="AM264" s="9" t="str">
        <x:f>IF(A264="","",IF(AND(AK264="OK",J264="READY",F264&lt;&gt;"",G264&lt;&gt;"",K264&lt;&gt;"",S264="OK",OR(R264="PASS",R264="FAIL")),"YES","NO"))</x:f>
      </x:c>
      <x:c r="AN264" s="9" t="str">
        <x:f>IF(A264="","",F264&amp;" | "&amp;G264&amp;" | "&amp;H264&amp;" | "&amp;I264)</x:f>
      </x:c>
    </x:row>
    <x:row r="265" ht="33" customHeight="1">
      <x:c r="A265" s="3"/>
      <x:c r="B265" s="3"/>
      <x:c r="C265" s="3"/>
      <x:c r="D265" s="3"/>
      <x:c r="E265" s="3"/>
      <x:c r="F265" s="3"/>
      <x:c r="G265" s="3"/>
      <x:c r="H265" s="3"/>
      <x:c r="I265" s="3"/>
      <x:c r="J265" s="3"/>
      <x:c r="K265" s="3"/>
      <x:c r="L265" s="6"/>
      <x:c r="M265" s="6"/>
      <x:c r="N265" s="6"/>
      <x:c r="O265" s="6"/>
      <x:c r="P265" s="6"/>
      <x:c r="Q265" s="7"/>
      <x:c r="R265" s="7"/>
      <x:c r="S265" s="7"/>
      <x:c r="T265" s="7"/>
      <x:c r="U265" s="7"/>
      <x:c r="V265" s="7"/>
      <x:c r="W265" s="7"/>
      <x:c r="X265" s="7"/>
      <x:c r="Y265" s="7"/>
      <x:c r="Z265" s="7"/>
      <x:c r="AA265" s="7"/>
      <x:c r="AB265" s="7"/>
      <x:c r="AC265" s="7"/>
      <x:c r="AD265" s="7"/>
      <x:c r="AE265" s="3"/>
      <x:c r="AF265" s="3"/>
      <x:c r="AG265" s="3"/>
      <x:c r="AH265" s="3"/>
      <x:c r="AI265" s="3"/>
      <x:c r="AJ265" s="9" t="str">
        <x:f>IF(A265="","",A265&amp;"|"&amp;B265)</x:f>
      </x:c>
      <x:c r="AK265" s="9" t="str">
        <x:f>IF(A265="",IF(B265="","","MISSING_TEST_ID"),IF(B265="","MISSING_RUN_ID",IF(COUNTIFS($A$2:$A$501,A265,$B$2:$B$501,B265)&lt;&gt;1,"DUPLICATE_ID","OK")))</x:f>
      </x:c>
      <x:c r="AL265" s="9" t="str">
        <x:f>IF(A265="","",IF(AND(AK265="OK",J265="READY",F265&lt;&gt;"",G265&lt;&gt;"",K265&lt;&gt;"",OR(L265="PASS",L265="FAIL"),M265&lt;&gt;"",P265="social-publication-v2"),"YES","NO"))</x:f>
      </x:c>
      <x:c r="AM265" s="9" t="str">
        <x:f>IF(A265="","",IF(AND(AK265="OK",J265="READY",F265&lt;&gt;"",G265&lt;&gt;"",K265&lt;&gt;"",S265="OK",OR(R265="PASS",R265="FAIL")),"YES","NO"))</x:f>
      </x:c>
      <x:c r="AN265" s="9" t="str">
        <x:f>IF(A265="","",F265&amp;" | "&amp;G265&amp;" | "&amp;H265&amp;" | "&amp;I265)</x:f>
      </x:c>
    </x:row>
    <x:row r="266" ht="33" customHeight="1">
      <x:c r="A266" s="3"/>
      <x:c r="B266" s="3"/>
      <x:c r="C266" s="3"/>
      <x:c r="D266" s="3"/>
      <x:c r="E266" s="3"/>
      <x:c r="F266" s="3"/>
      <x:c r="G266" s="3"/>
      <x:c r="H266" s="3"/>
      <x:c r="I266" s="3"/>
      <x:c r="J266" s="3"/>
      <x:c r="K266" s="3"/>
      <x:c r="L266" s="6"/>
      <x:c r="M266" s="6"/>
      <x:c r="N266" s="6"/>
      <x:c r="O266" s="6"/>
      <x:c r="P266" s="6"/>
      <x:c r="Q266" s="7"/>
      <x:c r="R266" s="7"/>
      <x:c r="S266" s="7"/>
      <x:c r="T266" s="7"/>
      <x:c r="U266" s="7"/>
      <x:c r="V266" s="7"/>
      <x:c r="W266" s="7"/>
      <x:c r="X266" s="7"/>
      <x:c r="Y266" s="7"/>
      <x:c r="Z266" s="7"/>
      <x:c r="AA266" s="7"/>
      <x:c r="AB266" s="7"/>
      <x:c r="AC266" s="7"/>
      <x:c r="AD266" s="7"/>
      <x:c r="AE266" s="3"/>
      <x:c r="AF266" s="3"/>
      <x:c r="AG266" s="3"/>
      <x:c r="AH266" s="3"/>
      <x:c r="AI266" s="3"/>
      <x:c r="AJ266" s="9" t="str">
        <x:f>IF(A266="","",A266&amp;"|"&amp;B266)</x:f>
      </x:c>
      <x:c r="AK266" s="9" t="str">
        <x:f>IF(A266="",IF(B266="","","MISSING_TEST_ID"),IF(B266="","MISSING_RUN_ID",IF(COUNTIFS($A$2:$A$501,A266,$B$2:$B$501,B266)&lt;&gt;1,"DUPLICATE_ID","OK")))</x:f>
      </x:c>
      <x:c r="AL266" s="9" t="str">
        <x:f>IF(A266="","",IF(AND(AK266="OK",J266="READY",F266&lt;&gt;"",G266&lt;&gt;"",K266&lt;&gt;"",OR(L266="PASS",L266="FAIL"),M266&lt;&gt;"",P266="social-publication-v2"),"YES","NO"))</x:f>
      </x:c>
      <x:c r="AM266" s="9" t="str">
        <x:f>IF(A266="","",IF(AND(AK266="OK",J266="READY",F266&lt;&gt;"",G266&lt;&gt;"",K266&lt;&gt;"",S266="OK",OR(R266="PASS",R266="FAIL")),"YES","NO"))</x:f>
      </x:c>
      <x:c r="AN266" s="9" t="str">
        <x:f>IF(A266="","",F266&amp;" | "&amp;G266&amp;" | "&amp;H266&amp;" | "&amp;I266)</x:f>
      </x:c>
    </x:row>
    <x:row r="267" ht="33" customHeight="1">
      <x:c r="A267" s="3"/>
      <x:c r="B267" s="3"/>
      <x:c r="C267" s="3"/>
      <x:c r="D267" s="3"/>
      <x:c r="E267" s="3"/>
      <x:c r="F267" s="3"/>
      <x:c r="G267" s="3"/>
      <x:c r="H267" s="3"/>
      <x:c r="I267" s="3"/>
      <x:c r="J267" s="3"/>
      <x:c r="K267" s="3"/>
      <x:c r="L267" s="6"/>
      <x:c r="M267" s="6"/>
      <x:c r="N267" s="6"/>
      <x:c r="O267" s="6"/>
      <x:c r="P267" s="6"/>
      <x:c r="Q267" s="7"/>
      <x:c r="R267" s="7"/>
      <x:c r="S267" s="7"/>
      <x:c r="T267" s="7"/>
      <x:c r="U267" s="7"/>
      <x:c r="V267" s="7"/>
      <x:c r="W267" s="7"/>
      <x:c r="X267" s="7"/>
      <x:c r="Y267" s="7"/>
      <x:c r="Z267" s="7"/>
      <x:c r="AA267" s="7"/>
      <x:c r="AB267" s="7"/>
      <x:c r="AC267" s="7"/>
      <x:c r="AD267" s="7"/>
      <x:c r="AE267" s="3"/>
      <x:c r="AF267" s="3"/>
      <x:c r="AG267" s="3"/>
      <x:c r="AH267" s="3"/>
      <x:c r="AI267" s="3"/>
      <x:c r="AJ267" s="9" t="str">
        <x:f>IF(A267="","",A267&amp;"|"&amp;B267)</x:f>
      </x:c>
      <x:c r="AK267" s="9" t="str">
        <x:f>IF(A267="",IF(B267="","","MISSING_TEST_ID"),IF(B267="","MISSING_RUN_ID",IF(COUNTIFS($A$2:$A$501,A267,$B$2:$B$501,B267)&lt;&gt;1,"DUPLICATE_ID","OK")))</x:f>
      </x:c>
      <x:c r="AL267" s="9" t="str">
        <x:f>IF(A267="","",IF(AND(AK267="OK",J267="READY",F267&lt;&gt;"",G267&lt;&gt;"",K267&lt;&gt;"",OR(L267="PASS",L267="FAIL"),M267&lt;&gt;"",P267="social-publication-v2"),"YES","NO"))</x:f>
      </x:c>
      <x:c r="AM267" s="9" t="str">
        <x:f>IF(A267="","",IF(AND(AK267="OK",J267="READY",F267&lt;&gt;"",G267&lt;&gt;"",K267&lt;&gt;"",S267="OK",OR(R267="PASS",R267="FAIL")),"YES","NO"))</x:f>
      </x:c>
      <x:c r="AN267" s="9" t="str">
        <x:f>IF(A267="","",F267&amp;" | "&amp;G267&amp;" | "&amp;H267&amp;" | "&amp;I267)</x:f>
      </x:c>
    </x:row>
    <x:row r="268" ht="33" customHeight="1">
      <x:c r="A268" s="3"/>
      <x:c r="B268" s="3"/>
      <x:c r="C268" s="3"/>
      <x:c r="D268" s="3"/>
      <x:c r="E268" s="3"/>
      <x:c r="F268" s="3"/>
      <x:c r="G268" s="3"/>
      <x:c r="H268" s="3"/>
      <x:c r="I268" s="3"/>
      <x:c r="J268" s="3"/>
      <x:c r="K268" s="3"/>
      <x:c r="L268" s="6"/>
      <x:c r="M268" s="6"/>
      <x:c r="N268" s="6"/>
      <x:c r="O268" s="6"/>
      <x:c r="P268" s="6"/>
      <x:c r="Q268" s="7"/>
      <x:c r="R268" s="7"/>
      <x:c r="S268" s="7"/>
      <x:c r="T268" s="7"/>
      <x:c r="U268" s="7"/>
      <x:c r="V268" s="7"/>
      <x:c r="W268" s="7"/>
      <x:c r="X268" s="7"/>
      <x:c r="Y268" s="7"/>
      <x:c r="Z268" s="7"/>
      <x:c r="AA268" s="7"/>
      <x:c r="AB268" s="7"/>
      <x:c r="AC268" s="7"/>
      <x:c r="AD268" s="7"/>
      <x:c r="AE268" s="3"/>
      <x:c r="AF268" s="3"/>
      <x:c r="AG268" s="3"/>
      <x:c r="AH268" s="3"/>
      <x:c r="AI268" s="3"/>
      <x:c r="AJ268" s="9" t="str">
        <x:f>IF(A268="","",A268&amp;"|"&amp;B268)</x:f>
      </x:c>
      <x:c r="AK268" s="9" t="str">
        <x:f>IF(A268="",IF(B268="","","MISSING_TEST_ID"),IF(B268="","MISSING_RUN_ID",IF(COUNTIFS($A$2:$A$501,A268,$B$2:$B$501,B268)&lt;&gt;1,"DUPLICATE_ID","OK")))</x:f>
      </x:c>
      <x:c r="AL268" s="9" t="str">
        <x:f>IF(A268="","",IF(AND(AK268="OK",J268="READY",F268&lt;&gt;"",G268&lt;&gt;"",K268&lt;&gt;"",OR(L268="PASS",L268="FAIL"),M268&lt;&gt;"",P268="social-publication-v2"),"YES","NO"))</x:f>
      </x:c>
      <x:c r="AM268" s="9" t="str">
        <x:f>IF(A268="","",IF(AND(AK268="OK",J268="READY",F268&lt;&gt;"",G268&lt;&gt;"",K268&lt;&gt;"",S268="OK",OR(R268="PASS",R268="FAIL")),"YES","NO"))</x:f>
      </x:c>
      <x:c r="AN268" s="9" t="str">
        <x:f>IF(A268="","",F268&amp;" | "&amp;G268&amp;" | "&amp;H268&amp;" | "&amp;I268)</x:f>
      </x:c>
    </x:row>
    <x:row r="269" ht="33" customHeight="1">
      <x:c r="A269" s="3"/>
      <x:c r="B269" s="3"/>
      <x:c r="C269" s="3"/>
      <x:c r="D269" s="3"/>
      <x:c r="E269" s="3"/>
      <x:c r="F269" s="3"/>
      <x:c r="G269" s="3"/>
      <x:c r="H269" s="3"/>
      <x:c r="I269" s="3"/>
      <x:c r="J269" s="3"/>
      <x:c r="K269" s="3"/>
      <x:c r="L269" s="6"/>
      <x:c r="M269" s="6"/>
      <x:c r="N269" s="6"/>
      <x:c r="O269" s="6"/>
      <x:c r="P269" s="6"/>
      <x:c r="Q269" s="7"/>
      <x:c r="R269" s="7"/>
      <x:c r="S269" s="7"/>
      <x:c r="T269" s="7"/>
      <x:c r="U269" s="7"/>
      <x:c r="V269" s="7"/>
      <x:c r="W269" s="7"/>
      <x:c r="X269" s="7"/>
      <x:c r="Y269" s="7"/>
      <x:c r="Z269" s="7"/>
      <x:c r="AA269" s="7"/>
      <x:c r="AB269" s="7"/>
      <x:c r="AC269" s="7"/>
      <x:c r="AD269" s="7"/>
      <x:c r="AE269" s="3"/>
      <x:c r="AF269" s="3"/>
      <x:c r="AG269" s="3"/>
      <x:c r="AH269" s="3"/>
      <x:c r="AI269" s="3"/>
      <x:c r="AJ269" s="9" t="str">
        <x:f>IF(A269="","",A269&amp;"|"&amp;B269)</x:f>
      </x:c>
      <x:c r="AK269" s="9" t="str">
        <x:f>IF(A269="",IF(B269="","","MISSING_TEST_ID"),IF(B269="","MISSING_RUN_ID",IF(COUNTIFS($A$2:$A$501,A269,$B$2:$B$501,B269)&lt;&gt;1,"DUPLICATE_ID","OK")))</x:f>
      </x:c>
      <x:c r="AL269" s="9" t="str">
        <x:f>IF(A269="","",IF(AND(AK269="OK",J269="READY",F269&lt;&gt;"",G269&lt;&gt;"",K269&lt;&gt;"",OR(L269="PASS",L269="FAIL"),M269&lt;&gt;"",P269="social-publication-v2"),"YES","NO"))</x:f>
      </x:c>
      <x:c r="AM269" s="9" t="str">
        <x:f>IF(A269="","",IF(AND(AK269="OK",J269="READY",F269&lt;&gt;"",G269&lt;&gt;"",K269&lt;&gt;"",S269="OK",OR(R269="PASS",R269="FAIL")),"YES","NO"))</x:f>
      </x:c>
      <x:c r="AN269" s="9" t="str">
        <x:f>IF(A269="","",F269&amp;" | "&amp;G269&amp;" | "&amp;H269&amp;" | "&amp;I269)</x:f>
      </x:c>
    </x:row>
    <x:row r="270" ht="33" customHeight="1">
      <x:c r="A270" s="3"/>
      <x:c r="B270" s="3"/>
      <x:c r="C270" s="3"/>
      <x:c r="D270" s="3"/>
      <x:c r="E270" s="3"/>
      <x:c r="F270" s="3"/>
      <x:c r="G270" s="3"/>
      <x:c r="H270" s="3"/>
      <x:c r="I270" s="3"/>
      <x:c r="J270" s="3"/>
      <x:c r="K270" s="3"/>
      <x:c r="L270" s="6"/>
      <x:c r="M270" s="6"/>
      <x:c r="N270" s="6"/>
      <x:c r="O270" s="6"/>
      <x:c r="P270" s="6"/>
      <x:c r="Q270" s="7"/>
      <x:c r="R270" s="7"/>
      <x:c r="S270" s="7"/>
      <x:c r="T270" s="7"/>
      <x:c r="U270" s="7"/>
      <x:c r="V270" s="7"/>
      <x:c r="W270" s="7"/>
      <x:c r="X270" s="7"/>
      <x:c r="Y270" s="7"/>
      <x:c r="Z270" s="7"/>
      <x:c r="AA270" s="7"/>
      <x:c r="AB270" s="7"/>
      <x:c r="AC270" s="7"/>
      <x:c r="AD270" s="7"/>
      <x:c r="AE270" s="3"/>
      <x:c r="AF270" s="3"/>
      <x:c r="AG270" s="3"/>
      <x:c r="AH270" s="3"/>
      <x:c r="AI270" s="3"/>
      <x:c r="AJ270" s="9" t="str">
        <x:f>IF(A270="","",A270&amp;"|"&amp;B270)</x:f>
      </x:c>
      <x:c r="AK270" s="9" t="str">
        <x:f>IF(A270="",IF(B270="","","MISSING_TEST_ID"),IF(B270="","MISSING_RUN_ID",IF(COUNTIFS($A$2:$A$501,A270,$B$2:$B$501,B270)&lt;&gt;1,"DUPLICATE_ID","OK")))</x:f>
      </x:c>
      <x:c r="AL270" s="9" t="str">
        <x:f>IF(A270="","",IF(AND(AK270="OK",J270="READY",F270&lt;&gt;"",G270&lt;&gt;"",K270&lt;&gt;"",OR(L270="PASS",L270="FAIL"),M270&lt;&gt;"",P270="social-publication-v2"),"YES","NO"))</x:f>
      </x:c>
      <x:c r="AM270" s="9" t="str">
        <x:f>IF(A270="","",IF(AND(AK270="OK",J270="READY",F270&lt;&gt;"",G270&lt;&gt;"",K270&lt;&gt;"",S270="OK",OR(R270="PASS",R270="FAIL")),"YES","NO"))</x:f>
      </x:c>
      <x:c r="AN270" s="9" t="str">
        <x:f>IF(A270="","",F270&amp;" | "&amp;G270&amp;" | "&amp;H270&amp;" | "&amp;I270)</x:f>
      </x:c>
    </x:row>
    <x:row r="271" ht="33" customHeight="1">
      <x:c r="A271" s="3"/>
      <x:c r="B271" s="3"/>
      <x:c r="C271" s="3"/>
      <x:c r="D271" s="3"/>
      <x:c r="E271" s="3"/>
      <x:c r="F271" s="3"/>
      <x:c r="G271" s="3"/>
      <x:c r="H271" s="3"/>
      <x:c r="I271" s="3"/>
      <x:c r="J271" s="3"/>
      <x:c r="K271" s="3"/>
      <x:c r="L271" s="6"/>
      <x:c r="M271" s="6"/>
      <x:c r="N271" s="6"/>
      <x:c r="O271" s="6"/>
      <x:c r="P271" s="6"/>
      <x:c r="Q271" s="7"/>
      <x:c r="R271" s="7"/>
      <x:c r="S271" s="7"/>
      <x:c r="T271" s="7"/>
      <x:c r="U271" s="7"/>
      <x:c r="V271" s="7"/>
      <x:c r="W271" s="7"/>
      <x:c r="X271" s="7"/>
      <x:c r="Y271" s="7"/>
      <x:c r="Z271" s="7"/>
      <x:c r="AA271" s="7"/>
      <x:c r="AB271" s="7"/>
      <x:c r="AC271" s="7"/>
      <x:c r="AD271" s="7"/>
      <x:c r="AE271" s="3"/>
      <x:c r="AF271" s="3"/>
      <x:c r="AG271" s="3"/>
      <x:c r="AH271" s="3"/>
      <x:c r="AI271" s="3"/>
      <x:c r="AJ271" s="9" t="str">
        <x:f>IF(A271="","",A271&amp;"|"&amp;B271)</x:f>
      </x:c>
      <x:c r="AK271" s="9" t="str">
        <x:f>IF(A271="",IF(B271="","","MISSING_TEST_ID"),IF(B271="","MISSING_RUN_ID",IF(COUNTIFS($A$2:$A$501,A271,$B$2:$B$501,B271)&lt;&gt;1,"DUPLICATE_ID","OK")))</x:f>
      </x:c>
      <x:c r="AL271" s="9" t="str">
        <x:f>IF(A271="","",IF(AND(AK271="OK",J271="READY",F271&lt;&gt;"",G271&lt;&gt;"",K271&lt;&gt;"",OR(L271="PASS",L271="FAIL"),M271&lt;&gt;"",P271="social-publication-v2"),"YES","NO"))</x:f>
      </x:c>
      <x:c r="AM271" s="9" t="str">
        <x:f>IF(A271="","",IF(AND(AK271="OK",J271="READY",F271&lt;&gt;"",G271&lt;&gt;"",K271&lt;&gt;"",S271="OK",OR(R271="PASS",R271="FAIL")),"YES","NO"))</x:f>
      </x:c>
      <x:c r="AN271" s="9" t="str">
        <x:f>IF(A271="","",F271&amp;" | "&amp;G271&amp;" | "&amp;H271&amp;" | "&amp;I271)</x:f>
      </x:c>
    </x:row>
    <x:row r="272" ht="33" customHeight="1">
      <x:c r="A272" s="3"/>
      <x:c r="B272" s="3"/>
      <x:c r="C272" s="3"/>
      <x:c r="D272" s="3"/>
      <x:c r="E272" s="3"/>
      <x:c r="F272" s="3"/>
      <x:c r="G272" s="3"/>
      <x:c r="H272" s="3"/>
      <x:c r="I272" s="3"/>
      <x:c r="J272" s="3"/>
      <x:c r="K272" s="3"/>
      <x:c r="L272" s="6"/>
      <x:c r="M272" s="6"/>
      <x:c r="N272" s="6"/>
      <x:c r="O272" s="6"/>
      <x:c r="P272" s="6"/>
      <x:c r="Q272" s="7"/>
      <x:c r="R272" s="7"/>
      <x:c r="S272" s="7"/>
      <x:c r="T272" s="7"/>
      <x:c r="U272" s="7"/>
      <x:c r="V272" s="7"/>
      <x:c r="W272" s="7"/>
      <x:c r="X272" s="7"/>
      <x:c r="Y272" s="7"/>
      <x:c r="Z272" s="7"/>
      <x:c r="AA272" s="7"/>
      <x:c r="AB272" s="7"/>
      <x:c r="AC272" s="7"/>
      <x:c r="AD272" s="7"/>
      <x:c r="AE272" s="3"/>
      <x:c r="AF272" s="3"/>
      <x:c r="AG272" s="3"/>
      <x:c r="AH272" s="3"/>
      <x:c r="AI272" s="3"/>
      <x:c r="AJ272" s="9" t="str">
        <x:f>IF(A272="","",A272&amp;"|"&amp;B272)</x:f>
      </x:c>
      <x:c r="AK272" s="9" t="str">
        <x:f>IF(A272="",IF(B272="","","MISSING_TEST_ID"),IF(B272="","MISSING_RUN_ID",IF(COUNTIFS($A$2:$A$501,A272,$B$2:$B$501,B272)&lt;&gt;1,"DUPLICATE_ID","OK")))</x:f>
      </x:c>
      <x:c r="AL272" s="9" t="str">
        <x:f>IF(A272="","",IF(AND(AK272="OK",J272="READY",F272&lt;&gt;"",G272&lt;&gt;"",K272&lt;&gt;"",OR(L272="PASS",L272="FAIL"),M272&lt;&gt;"",P272="social-publication-v2"),"YES","NO"))</x:f>
      </x:c>
      <x:c r="AM272" s="9" t="str">
        <x:f>IF(A272="","",IF(AND(AK272="OK",J272="READY",F272&lt;&gt;"",G272&lt;&gt;"",K272&lt;&gt;"",S272="OK",OR(R272="PASS",R272="FAIL")),"YES","NO"))</x:f>
      </x:c>
      <x:c r="AN272" s="9" t="str">
        <x:f>IF(A272="","",F272&amp;" | "&amp;G272&amp;" | "&amp;H272&amp;" | "&amp;I272)</x:f>
      </x:c>
    </x:row>
    <x:row r="273" ht="33" customHeight="1">
      <x:c r="A273" s="3"/>
      <x:c r="B273" s="3"/>
      <x:c r="C273" s="3"/>
      <x:c r="D273" s="3"/>
      <x:c r="E273" s="3"/>
      <x:c r="F273" s="3"/>
      <x:c r="G273" s="3"/>
      <x:c r="H273" s="3"/>
      <x:c r="I273" s="3"/>
      <x:c r="J273" s="3"/>
      <x:c r="K273" s="3"/>
      <x:c r="L273" s="6"/>
      <x:c r="M273" s="6"/>
      <x:c r="N273" s="6"/>
      <x:c r="O273" s="6"/>
      <x:c r="P273" s="6"/>
      <x:c r="Q273" s="7"/>
      <x:c r="R273" s="7"/>
      <x:c r="S273" s="7"/>
      <x:c r="T273" s="7"/>
      <x:c r="U273" s="7"/>
      <x:c r="V273" s="7"/>
      <x:c r="W273" s="7"/>
      <x:c r="X273" s="7"/>
      <x:c r="Y273" s="7"/>
      <x:c r="Z273" s="7"/>
      <x:c r="AA273" s="7"/>
      <x:c r="AB273" s="7"/>
      <x:c r="AC273" s="7"/>
      <x:c r="AD273" s="7"/>
      <x:c r="AE273" s="3"/>
      <x:c r="AF273" s="3"/>
      <x:c r="AG273" s="3"/>
      <x:c r="AH273" s="3"/>
      <x:c r="AI273" s="3"/>
      <x:c r="AJ273" s="9" t="str">
        <x:f>IF(A273="","",A273&amp;"|"&amp;B273)</x:f>
      </x:c>
      <x:c r="AK273" s="9" t="str">
        <x:f>IF(A273="",IF(B273="","","MISSING_TEST_ID"),IF(B273="","MISSING_RUN_ID",IF(COUNTIFS($A$2:$A$501,A273,$B$2:$B$501,B273)&lt;&gt;1,"DUPLICATE_ID","OK")))</x:f>
      </x:c>
      <x:c r="AL273" s="9" t="str">
        <x:f>IF(A273="","",IF(AND(AK273="OK",J273="READY",F273&lt;&gt;"",G273&lt;&gt;"",K273&lt;&gt;"",OR(L273="PASS",L273="FAIL"),M273&lt;&gt;"",P273="social-publication-v2"),"YES","NO"))</x:f>
      </x:c>
      <x:c r="AM273" s="9" t="str">
        <x:f>IF(A273="","",IF(AND(AK273="OK",J273="READY",F273&lt;&gt;"",G273&lt;&gt;"",K273&lt;&gt;"",S273="OK",OR(R273="PASS",R273="FAIL")),"YES","NO"))</x:f>
      </x:c>
      <x:c r="AN273" s="9" t="str">
        <x:f>IF(A273="","",F273&amp;" | "&amp;G273&amp;" | "&amp;H273&amp;" | "&amp;I273)</x:f>
      </x:c>
    </x:row>
    <x:row r="274" ht="33" customHeight="1">
      <x:c r="A274" s="3"/>
      <x:c r="B274" s="3"/>
      <x:c r="C274" s="3"/>
      <x:c r="D274" s="3"/>
      <x:c r="E274" s="3"/>
      <x:c r="F274" s="3"/>
      <x:c r="G274" s="3"/>
      <x:c r="H274" s="3"/>
      <x:c r="I274" s="3"/>
      <x:c r="J274" s="3"/>
      <x:c r="K274" s="3"/>
      <x:c r="L274" s="6"/>
      <x:c r="M274" s="6"/>
      <x:c r="N274" s="6"/>
      <x:c r="O274" s="6"/>
      <x:c r="P274" s="6"/>
      <x:c r="Q274" s="7"/>
      <x:c r="R274" s="7"/>
      <x:c r="S274" s="7"/>
      <x:c r="T274" s="7"/>
      <x:c r="U274" s="7"/>
      <x:c r="V274" s="7"/>
      <x:c r="W274" s="7"/>
      <x:c r="X274" s="7"/>
      <x:c r="Y274" s="7"/>
      <x:c r="Z274" s="7"/>
      <x:c r="AA274" s="7"/>
      <x:c r="AB274" s="7"/>
      <x:c r="AC274" s="7"/>
      <x:c r="AD274" s="7"/>
      <x:c r="AE274" s="3"/>
      <x:c r="AF274" s="3"/>
      <x:c r="AG274" s="3"/>
      <x:c r="AH274" s="3"/>
      <x:c r="AI274" s="3"/>
      <x:c r="AJ274" s="9" t="str">
        <x:f>IF(A274="","",A274&amp;"|"&amp;B274)</x:f>
      </x:c>
      <x:c r="AK274" s="9" t="str">
        <x:f>IF(A274="",IF(B274="","","MISSING_TEST_ID"),IF(B274="","MISSING_RUN_ID",IF(COUNTIFS($A$2:$A$501,A274,$B$2:$B$501,B274)&lt;&gt;1,"DUPLICATE_ID","OK")))</x:f>
      </x:c>
      <x:c r="AL274" s="9" t="str">
        <x:f>IF(A274="","",IF(AND(AK274="OK",J274="READY",F274&lt;&gt;"",G274&lt;&gt;"",K274&lt;&gt;"",OR(L274="PASS",L274="FAIL"),M274&lt;&gt;"",P274="social-publication-v2"),"YES","NO"))</x:f>
      </x:c>
      <x:c r="AM274" s="9" t="str">
        <x:f>IF(A274="","",IF(AND(AK274="OK",J274="READY",F274&lt;&gt;"",G274&lt;&gt;"",K274&lt;&gt;"",S274="OK",OR(R274="PASS",R274="FAIL")),"YES","NO"))</x:f>
      </x:c>
      <x:c r="AN274" s="9" t="str">
        <x:f>IF(A274="","",F274&amp;" | "&amp;G274&amp;" | "&amp;H274&amp;" | "&amp;I274)</x:f>
      </x:c>
    </x:row>
    <x:row r="275" ht="33" customHeight="1">
      <x:c r="A275" s="3"/>
      <x:c r="B275" s="3"/>
      <x:c r="C275" s="3"/>
      <x:c r="D275" s="3"/>
      <x:c r="E275" s="3"/>
      <x:c r="F275" s="3"/>
      <x:c r="G275" s="3"/>
      <x:c r="H275" s="3"/>
      <x:c r="I275" s="3"/>
      <x:c r="J275" s="3"/>
      <x:c r="K275" s="3"/>
      <x:c r="L275" s="6"/>
      <x:c r="M275" s="6"/>
      <x:c r="N275" s="6"/>
      <x:c r="O275" s="6"/>
      <x:c r="P275" s="6"/>
      <x:c r="Q275" s="7"/>
      <x:c r="R275" s="7"/>
      <x:c r="S275" s="7"/>
      <x:c r="T275" s="7"/>
      <x:c r="U275" s="7"/>
      <x:c r="V275" s="7"/>
      <x:c r="W275" s="7"/>
      <x:c r="X275" s="7"/>
      <x:c r="Y275" s="7"/>
      <x:c r="Z275" s="7"/>
      <x:c r="AA275" s="7"/>
      <x:c r="AB275" s="7"/>
      <x:c r="AC275" s="7"/>
      <x:c r="AD275" s="7"/>
      <x:c r="AE275" s="3"/>
      <x:c r="AF275" s="3"/>
      <x:c r="AG275" s="3"/>
      <x:c r="AH275" s="3"/>
      <x:c r="AI275" s="3"/>
      <x:c r="AJ275" s="9" t="str">
        <x:f>IF(A275="","",A275&amp;"|"&amp;B275)</x:f>
      </x:c>
      <x:c r="AK275" s="9" t="str">
        <x:f>IF(A275="",IF(B275="","","MISSING_TEST_ID"),IF(B275="","MISSING_RUN_ID",IF(COUNTIFS($A$2:$A$501,A275,$B$2:$B$501,B275)&lt;&gt;1,"DUPLICATE_ID","OK")))</x:f>
      </x:c>
      <x:c r="AL275" s="9" t="str">
        <x:f>IF(A275="","",IF(AND(AK275="OK",J275="READY",F275&lt;&gt;"",G275&lt;&gt;"",K275&lt;&gt;"",OR(L275="PASS",L275="FAIL"),M275&lt;&gt;"",P275="social-publication-v2"),"YES","NO"))</x:f>
      </x:c>
      <x:c r="AM275" s="9" t="str">
        <x:f>IF(A275="","",IF(AND(AK275="OK",J275="READY",F275&lt;&gt;"",G275&lt;&gt;"",K275&lt;&gt;"",S275="OK",OR(R275="PASS",R275="FAIL")),"YES","NO"))</x:f>
      </x:c>
      <x:c r="AN275" s="9" t="str">
        <x:f>IF(A275="","",F275&amp;" | "&amp;G275&amp;" | "&amp;H275&amp;" | "&amp;I275)</x:f>
      </x:c>
    </x:row>
    <x:row r="276" ht="33" customHeight="1">
      <x:c r="A276" s="3"/>
      <x:c r="B276" s="3"/>
      <x:c r="C276" s="3"/>
      <x:c r="D276" s="3"/>
      <x:c r="E276" s="3"/>
      <x:c r="F276" s="3"/>
      <x:c r="G276" s="3"/>
      <x:c r="H276" s="3"/>
      <x:c r="I276" s="3"/>
      <x:c r="J276" s="3"/>
      <x:c r="K276" s="3"/>
      <x:c r="L276" s="6"/>
      <x:c r="M276" s="6"/>
      <x:c r="N276" s="6"/>
      <x:c r="O276" s="6"/>
      <x:c r="P276" s="6"/>
      <x:c r="Q276" s="7"/>
      <x:c r="R276" s="7"/>
      <x:c r="S276" s="7"/>
      <x:c r="T276" s="7"/>
      <x:c r="U276" s="7"/>
      <x:c r="V276" s="7"/>
      <x:c r="W276" s="7"/>
      <x:c r="X276" s="7"/>
      <x:c r="Y276" s="7"/>
      <x:c r="Z276" s="7"/>
      <x:c r="AA276" s="7"/>
      <x:c r="AB276" s="7"/>
      <x:c r="AC276" s="7"/>
      <x:c r="AD276" s="7"/>
      <x:c r="AE276" s="3"/>
      <x:c r="AF276" s="3"/>
      <x:c r="AG276" s="3"/>
      <x:c r="AH276" s="3"/>
      <x:c r="AI276" s="3"/>
      <x:c r="AJ276" s="9" t="str">
        <x:f>IF(A276="","",A276&amp;"|"&amp;B276)</x:f>
      </x:c>
      <x:c r="AK276" s="9" t="str">
        <x:f>IF(A276="",IF(B276="","","MISSING_TEST_ID"),IF(B276="","MISSING_RUN_ID",IF(COUNTIFS($A$2:$A$501,A276,$B$2:$B$501,B276)&lt;&gt;1,"DUPLICATE_ID","OK")))</x:f>
      </x:c>
      <x:c r="AL276" s="9" t="str">
        <x:f>IF(A276="","",IF(AND(AK276="OK",J276="READY",F276&lt;&gt;"",G276&lt;&gt;"",K276&lt;&gt;"",OR(L276="PASS",L276="FAIL"),M276&lt;&gt;"",P276="social-publication-v2"),"YES","NO"))</x:f>
      </x:c>
      <x:c r="AM276" s="9" t="str">
        <x:f>IF(A276="","",IF(AND(AK276="OK",J276="READY",F276&lt;&gt;"",G276&lt;&gt;"",K276&lt;&gt;"",S276="OK",OR(R276="PASS",R276="FAIL")),"YES","NO"))</x:f>
      </x:c>
      <x:c r="AN276" s="9" t="str">
        <x:f>IF(A276="","",F276&amp;" | "&amp;G276&amp;" | "&amp;H276&amp;" | "&amp;I276)</x:f>
      </x:c>
    </x:row>
    <x:row r="277" ht="33" customHeight="1">
      <x:c r="A277" s="3"/>
      <x:c r="B277" s="3"/>
      <x:c r="C277" s="3"/>
      <x:c r="D277" s="3"/>
      <x:c r="E277" s="3"/>
      <x:c r="F277" s="3"/>
      <x:c r="G277" s="3"/>
      <x:c r="H277" s="3"/>
      <x:c r="I277" s="3"/>
      <x:c r="J277" s="3"/>
      <x:c r="K277" s="3"/>
      <x:c r="L277" s="6"/>
      <x:c r="M277" s="6"/>
      <x:c r="N277" s="6"/>
      <x:c r="O277" s="6"/>
      <x:c r="P277" s="6"/>
      <x:c r="Q277" s="7"/>
      <x:c r="R277" s="7"/>
      <x:c r="S277" s="7"/>
      <x:c r="T277" s="7"/>
      <x:c r="U277" s="7"/>
      <x:c r="V277" s="7"/>
      <x:c r="W277" s="7"/>
      <x:c r="X277" s="7"/>
      <x:c r="Y277" s="7"/>
      <x:c r="Z277" s="7"/>
      <x:c r="AA277" s="7"/>
      <x:c r="AB277" s="7"/>
      <x:c r="AC277" s="7"/>
      <x:c r="AD277" s="7"/>
      <x:c r="AE277" s="3"/>
      <x:c r="AF277" s="3"/>
      <x:c r="AG277" s="3"/>
      <x:c r="AH277" s="3"/>
      <x:c r="AI277" s="3"/>
      <x:c r="AJ277" s="9" t="str">
        <x:f>IF(A277="","",A277&amp;"|"&amp;B277)</x:f>
      </x:c>
      <x:c r="AK277" s="9" t="str">
        <x:f>IF(A277="",IF(B277="","","MISSING_TEST_ID"),IF(B277="","MISSING_RUN_ID",IF(COUNTIFS($A$2:$A$501,A277,$B$2:$B$501,B277)&lt;&gt;1,"DUPLICATE_ID","OK")))</x:f>
      </x:c>
      <x:c r="AL277" s="9" t="str">
        <x:f>IF(A277="","",IF(AND(AK277="OK",J277="READY",F277&lt;&gt;"",G277&lt;&gt;"",K277&lt;&gt;"",OR(L277="PASS",L277="FAIL"),M277&lt;&gt;"",P277="social-publication-v2"),"YES","NO"))</x:f>
      </x:c>
      <x:c r="AM277" s="9" t="str">
        <x:f>IF(A277="","",IF(AND(AK277="OK",J277="READY",F277&lt;&gt;"",G277&lt;&gt;"",K277&lt;&gt;"",S277="OK",OR(R277="PASS",R277="FAIL")),"YES","NO"))</x:f>
      </x:c>
      <x:c r="AN277" s="9" t="str">
        <x:f>IF(A277="","",F277&amp;" | "&amp;G277&amp;" | "&amp;H277&amp;" | "&amp;I277)</x:f>
      </x:c>
    </x:row>
    <x:row r="278" ht="33" customHeight="1">
      <x:c r="A278" s="3"/>
      <x:c r="B278" s="3"/>
      <x:c r="C278" s="3"/>
      <x:c r="D278" s="3"/>
      <x:c r="E278" s="3"/>
      <x:c r="F278" s="3"/>
      <x:c r="G278" s="3"/>
      <x:c r="H278" s="3"/>
      <x:c r="I278" s="3"/>
      <x:c r="J278" s="3"/>
      <x:c r="K278" s="3"/>
      <x:c r="L278" s="6"/>
      <x:c r="M278" s="6"/>
      <x:c r="N278" s="6"/>
      <x:c r="O278" s="6"/>
      <x:c r="P278" s="6"/>
      <x:c r="Q278" s="7"/>
      <x:c r="R278" s="7"/>
      <x:c r="S278" s="7"/>
      <x:c r="T278" s="7"/>
      <x:c r="U278" s="7"/>
      <x:c r="V278" s="7"/>
      <x:c r="W278" s="7"/>
      <x:c r="X278" s="7"/>
      <x:c r="Y278" s="7"/>
      <x:c r="Z278" s="7"/>
      <x:c r="AA278" s="7"/>
      <x:c r="AB278" s="7"/>
      <x:c r="AC278" s="7"/>
      <x:c r="AD278" s="7"/>
      <x:c r="AE278" s="3"/>
      <x:c r="AF278" s="3"/>
      <x:c r="AG278" s="3"/>
      <x:c r="AH278" s="3"/>
      <x:c r="AI278" s="3"/>
      <x:c r="AJ278" s="9" t="str">
        <x:f>IF(A278="","",A278&amp;"|"&amp;B278)</x:f>
      </x:c>
      <x:c r="AK278" s="9" t="str">
        <x:f>IF(A278="",IF(B278="","","MISSING_TEST_ID"),IF(B278="","MISSING_RUN_ID",IF(COUNTIFS($A$2:$A$501,A278,$B$2:$B$501,B278)&lt;&gt;1,"DUPLICATE_ID","OK")))</x:f>
      </x:c>
      <x:c r="AL278" s="9" t="str">
        <x:f>IF(A278="","",IF(AND(AK278="OK",J278="READY",F278&lt;&gt;"",G278&lt;&gt;"",K278&lt;&gt;"",OR(L278="PASS",L278="FAIL"),M278&lt;&gt;"",P278="social-publication-v2"),"YES","NO"))</x:f>
      </x:c>
      <x:c r="AM278" s="9" t="str">
        <x:f>IF(A278="","",IF(AND(AK278="OK",J278="READY",F278&lt;&gt;"",G278&lt;&gt;"",K278&lt;&gt;"",S278="OK",OR(R278="PASS",R278="FAIL")),"YES","NO"))</x:f>
      </x:c>
      <x:c r="AN278" s="9" t="str">
        <x:f>IF(A278="","",F278&amp;" | "&amp;G278&amp;" | "&amp;H278&amp;" | "&amp;I278)</x:f>
      </x:c>
    </x:row>
    <x:row r="279" ht="33" customHeight="1">
      <x:c r="A279" s="3"/>
      <x:c r="B279" s="3"/>
      <x:c r="C279" s="3"/>
      <x:c r="D279" s="3"/>
      <x:c r="E279" s="3"/>
      <x:c r="F279" s="3"/>
      <x:c r="G279" s="3"/>
      <x:c r="H279" s="3"/>
      <x:c r="I279" s="3"/>
      <x:c r="J279" s="3"/>
      <x:c r="K279" s="3"/>
      <x:c r="L279" s="6"/>
      <x:c r="M279" s="6"/>
      <x:c r="N279" s="6"/>
      <x:c r="O279" s="6"/>
      <x:c r="P279" s="6"/>
      <x:c r="Q279" s="7"/>
      <x:c r="R279" s="7"/>
      <x:c r="S279" s="7"/>
      <x:c r="T279" s="7"/>
      <x:c r="U279" s="7"/>
      <x:c r="V279" s="7"/>
      <x:c r="W279" s="7"/>
      <x:c r="X279" s="7"/>
      <x:c r="Y279" s="7"/>
      <x:c r="Z279" s="7"/>
      <x:c r="AA279" s="7"/>
      <x:c r="AB279" s="7"/>
      <x:c r="AC279" s="7"/>
      <x:c r="AD279" s="7"/>
      <x:c r="AE279" s="3"/>
      <x:c r="AF279" s="3"/>
      <x:c r="AG279" s="3"/>
      <x:c r="AH279" s="3"/>
      <x:c r="AI279" s="3"/>
      <x:c r="AJ279" s="9" t="str">
        <x:f>IF(A279="","",A279&amp;"|"&amp;B279)</x:f>
      </x:c>
      <x:c r="AK279" s="9" t="str">
        <x:f>IF(A279="",IF(B279="","","MISSING_TEST_ID"),IF(B279="","MISSING_RUN_ID",IF(COUNTIFS($A$2:$A$501,A279,$B$2:$B$501,B279)&lt;&gt;1,"DUPLICATE_ID","OK")))</x:f>
      </x:c>
      <x:c r="AL279" s="9" t="str">
        <x:f>IF(A279="","",IF(AND(AK279="OK",J279="READY",F279&lt;&gt;"",G279&lt;&gt;"",K279&lt;&gt;"",OR(L279="PASS",L279="FAIL"),M279&lt;&gt;"",P279="social-publication-v2"),"YES","NO"))</x:f>
      </x:c>
      <x:c r="AM279" s="9" t="str">
        <x:f>IF(A279="","",IF(AND(AK279="OK",J279="READY",F279&lt;&gt;"",G279&lt;&gt;"",K279&lt;&gt;"",S279="OK",OR(R279="PASS",R279="FAIL")),"YES","NO"))</x:f>
      </x:c>
      <x:c r="AN279" s="9" t="str">
        <x:f>IF(A279="","",F279&amp;" | "&amp;G279&amp;" | "&amp;H279&amp;" | "&amp;I279)</x:f>
      </x:c>
    </x:row>
    <x:row r="280" ht="33" customHeight="1">
      <x:c r="A280" s="3"/>
      <x:c r="B280" s="3"/>
      <x:c r="C280" s="3"/>
      <x:c r="D280" s="3"/>
      <x:c r="E280" s="3"/>
      <x:c r="F280" s="3"/>
      <x:c r="G280" s="3"/>
      <x:c r="H280" s="3"/>
      <x:c r="I280" s="3"/>
      <x:c r="J280" s="3"/>
      <x:c r="K280" s="3"/>
      <x:c r="L280" s="6"/>
      <x:c r="M280" s="6"/>
      <x:c r="N280" s="6"/>
      <x:c r="O280" s="6"/>
      <x:c r="P280" s="6"/>
      <x:c r="Q280" s="7"/>
      <x:c r="R280" s="7"/>
      <x:c r="S280" s="7"/>
      <x:c r="T280" s="7"/>
      <x:c r="U280" s="7"/>
      <x:c r="V280" s="7"/>
      <x:c r="W280" s="7"/>
      <x:c r="X280" s="7"/>
      <x:c r="Y280" s="7"/>
      <x:c r="Z280" s="7"/>
      <x:c r="AA280" s="7"/>
      <x:c r="AB280" s="7"/>
      <x:c r="AC280" s="7"/>
      <x:c r="AD280" s="7"/>
      <x:c r="AE280" s="3"/>
      <x:c r="AF280" s="3"/>
      <x:c r="AG280" s="3"/>
      <x:c r="AH280" s="3"/>
      <x:c r="AI280" s="3"/>
      <x:c r="AJ280" s="9" t="str">
        <x:f>IF(A280="","",A280&amp;"|"&amp;B280)</x:f>
      </x:c>
      <x:c r="AK280" s="9" t="str">
        <x:f>IF(A280="",IF(B280="","","MISSING_TEST_ID"),IF(B280="","MISSING_RUN_ID",IF(COUNTIFS($A$2:$A$501,A280,$B$2:$B$501,B280)&lt;&gt;1,"DUPLICATE_ID","OK")))</x:f>
      </x:c>
      <x:c r="AL280" s="9" t="str">
        <x:f>IF(A280="","",IF(AND(AK280="OK",J280="READY",F280&lt;&gt;"",G280&lt;&gt;"",K280&lt;&gt;"",OR(L280="PASS",L280="FAIL"),M280&lt;&gt;"",P280="social-publication-v2"),"YES","NO"))</x:f>
      </x:c>
      <x:c r="AM280" s="9" t="str">
        <x:f>IF(A280="","",IF(AND(AK280="OK",J280="READY",F280&lt;&gt;"",G280&lt;&gt;"",K280&lt;&gt;"",S280="OK",OR(R280="PASS",R280="FAIL")),"YES","NO"))</x:f>
      </x:c>
      <x:c r="AN280" s="9" t="str">
        <x:f>IF(A280="","",F280&amp;" | "&amp;G280&amp;" | "&amp;H280&amp;" | "&amp;I280)</x:f>
      </x:c>
    </x:row>
    <x:row r="281" ht="33" customHeight="1">
      <x:c r="A281" s="3"/>
      <x:c r="B281" s="3"/>
      <x:c r="C281" s="3"/>
      <x:c r="D281" s="3"/>
      <x:c r="E281" s="3"/>
      <x:c r="F281" s="3"/>
      <x:c r="G281" s="3"/>
      <x:c r="H281" s="3"/>
      <x:c r="I281" s="3"/>
      <x:c r="J281" s="3"/>
      <x:c r="K281" s="3"/>
      <x:c r="L281" s="6"/>
      <x:c r="M281" s="6"/>
      <x:c r="N281" s="6"/>
      <x:c r="O281" s="6"/>
      <x:c r="P281" s="6"/>
      <x:c r="Q281" s="7"/>
      <x:c r="R281" s="7"/>
      <x:c r="S281" s="7"/>
      <x:c r="T281" s="7"/>
      <x:c r="U281" s="7"/>
      <x:c r="V281" s="7"/>
      <x:c r="W281" s="7"/>
      <x:c r="X281" s="7"/>
      <x:c r="Y281" s="7"/>
      <x:c r="Z281" s="7"/>
      <x:c r="AA281" s="7"/>
      <x:c r="AB281" s="7"/>
      <x:c r="AC281" s="7"/>
      <x:c r="AD281" s="7"/>
      <x:c r="AE281" s="3"/>
      <x:c r="AF281" s="3"/>
      <x:c r="AG281" s="3"/>
      <x:c r="AH281" s="3"/>
      <x:c r="AI281" s="3"/>
      <x:c r="AJ281" s="9" t="str">
        <x:f>IF(A281="","",A281&amp;"|"&amp;B281)</x:f>
      </x:c>
      <x:c r="AK281" s="9" t="str">
        <x:f>IF(A281="",IF(B281="","","MISSING_TEST_ID"),IF(B281="","MISSING_RUN_ID",IF(COUNTIFS($A$2:$A$501,A281,$B$2:$B$501,B281)&lt;&gt;1,"DUPLICATE_ID","OK")))</x:f>
      </x:c>
      <x:c r="AL281" s="9" t="str">
        <x:f>IF(A281="","",IF(AND(AK281="OK",J281="READY",F281&lt;&gt;"",G281&lt;&gt;"",K281&lt;&gt;"",OR(L281="PASS",L281="FAIL"),M281&lt;&gt;"",P281="social-publication-v2"),"YES","NO"))</x:f>
      </x:c>
      <x:c r="AM281" s="9" t="str">
        <x:f>IF(A281="","",IF(AND(AK281="OK",J281="READY",F281&lt;&gt;"",G281&lt;&gt;"",K281&lt;&gt;"",S281="OK",OR(R281="PASS",R281="FAIL")),"YES","NO"))</x:f>
      </x:c>
      <x:c r="AN281" s="9" t="str">
        <x:f>IF(A281="","",F281&amp;" | "&amp;G281&amp;" | "&amp;H281&amp;" | "&amp;I281)</x:f>
      </x:c>
    </x:row>
    <x:row r="282" ht="33" customHeight="1">
      <x:c r="A282" s="3"/>
      <x:c r="B282" s="3"/>
      <x:c r="C282" s="3"/>
      <x:c r="D282" s="3"/>
      <x:c r="E282" s="3"/>
      <x:c r="F282" s="3"/>
      <x:c r="G282" s="3"/>
      <x:c r="H282" s="3"/>
      <x:c r="I282" s="3"/>
      <x:c r="J282" s="3"/>
      <x:c r="K282" s="3"/>
      <x:c r="L282" s="6"/>
      <x:c r="M282" s="6"/>
      <x:c r="N282" s="6"/>
      <x:c r="O282" s="6"/>
      <x:c r="P282" s="6"/>
      <x:c r="Q282" s="7"/>
      <x:c r="R282" s="7"/>
      <x:c r="S282" s="7"/>
      <x:c r="T282" s="7"/>
      <x:c r="U282" s="7"/>
      <x:c r="V282" s="7"/>
      <x:c r="W282" s="7"/>
      <x:c r="X282" s="7"/>
      <x:c r="Y282" s="7"/>
      <x:c r="Z282" s="7"/>
      <x:c r="AA282" s="7"/>
      <x:c r="AB282" s="7"/>
      <x:c r="AC282" s="7"/>
      <x:c r="AD282" s="7"/>
      <x:c r="AE282" s="3"/>
      <x:c r="AF282" s="3"/>
      <x:c r="AG282" s="3"/>
      <x:c r="AH282" s="3"/>
      <x:c r="AI282" s="3"/>
      <x:c r="AJ282" s="9" t="str">
        <x:f>IF(A282="","",A282&amp;"|"&amp;B282)</x:f>
      </x:c>
      <x:c r="AK282" s="9" t="str">
        <x:f>IF(A282="",IF(B282="","","MISSING_TEST_ID"),IF(B282="","MISSING_RUN_ID",IF(COUNTIFS($A$2:$A$501,A282,$B$2:$B$501,B282)&lt;&gt;1,"DUPLICATE_ID","OK")))</x:f>
      </x:c>
      <x:c r="AL282" s="9" t="str">
        <x:f>IF(A282="","",IF(AND(AK282="OK",J282="READY",F282&lt;&gt;"",G282&lt;&gt;"",K282&lt;&gt;"",OR(L282="PASS",L282="FAIL"),M282&lt;&gt;"",P282="social-publication-v2"),"YES","NO"))</x:f>
      </x:c>
      <x:c r="AM282" s="9" t="str">
        <x:f>IF(A282="","",IF(AND(AK282="OK",J282="READY",F282&lt;&gt;"",G282&lt;&gt;"",K282&lt;&gt;"",S282="OK",OR(R282="PASS",R282="FAIL")),"YES","NO"))</x:f>
      </x:c>
      <x:c r="AN282" s="9" t="str">
        <x:f>IF(A282="","",F282&amp;" | "&amp;G282&amp;" | "&amp;H282&amp;" | "&amp;I282)</x:f>
      </x:c>
    </x:row>
    <x:row r="283" ht="33" customHeight="1">
      <x:c r="A283" s="3"/>
      <x:c r="B283" s="3"/>
      <x:c r="C283" s="3"/>
      <x:c r="D283" s="3"/>
      <x:c r="E283" s="3"/>
      <x:c r="F283" s="3"/>
      <x:c r="G283" s="3"/>
      <x:c r="H283" s="3"/>
      <x:c r="I283" s="3"/>
      <x:c r="J283" s="3"/>
      <x:c r="K283" s="3"/>
      <x:c r="L283" s="6"/>
      <x:c r="M283" s="6"/>
      <x:c r="N283" s="6"/>
      <x:c r="O283" s="6"/>
      <x:c r="P283" s="6"/>
      <x:c r="Q283" s="7"/>
      <x:c r="R283" s="7"/>
      <x:c r="S283" s="7"/>
      <x:c r="T283" s="7"/>
      <x:c r="U283" s="7"/>
      <x:c r="V283" s="7"/>
      <x:c r="W283" s="7"/>
      <x:c r="X283" s="7"/>
      <x:c r="Y283" s="7"/>
      <x:c r="Z283" s="7"/>
      <x:c r="AA283" s="7"/>
      <x:c r="AB283" s="7"/>
      <x:c r="AC283" s="7"/>
      <x:c r="AD283" s="7"/>
      <x:c r="AE283" s="3"/>
      <x:c r="AF283" s="3"/>
      <x:c r="AG283" s="3"/>
      <x:c r="AH283" s="3"/>
      <x:c r="AI283" s="3"/>
      <x:c r="AJ283" s="9" t="str">
        <x:f>IF(A283="","",A283&amp;"|"&amp;B283)</x:f>
      </x:c>
      <x:c r="AK283" s="9" t="str">
        <x:f>IF(A283="",IF(B283="","","MISSING_TEST_ID"),IF(B283="","MISSING_RUN_ID",IF(COUNTIFS($A$2:$A$501,A283,$B$2:$B$501,B283)&lt;&gt;1,"DUPLICATE_ID","OK")))</x:f>
      </x:c>
      <x:c r="AL283" s="9" t="str">
        <x:f>IF(A283="","",IF(AND(AK283="OK",J283="READY",F283&lt;&gt;"",G283&lt;&gt;"",K283&lt;&gt;"",OR(L283="PASS",L283="FAIL"),M283&lt;&gt;"",P283="social-publication-v2"),"YES","NO"))</x:f>
      </x:c>
      <x:c r="AM283" s="9" t="str">
        <x:f>IF(A283="","",IF(AND(AK283="OK",J283="READY",F283&lt;&gt;"",G283&lt;&gt;"",K283&lt;&gt;"",S283="OK",OR(R283="PASS",R283="FAIL")),"YES","NO"))</x:f>
      </x:c>
      <x:c r="AN283" s="9" t="str">
        <x:f>IF(A283="","",F283&amp;" | "&amp;G283&amp;" | "&amp;H283&amp;" | "&amp;I283)</x:f>
      </x:c>
    </x:row>
    <x:row r="284" ht="33" customHeight="1">
      <x:c r="A284" s="3"/>
      <x:c r="B284" s="3"/>
      <x:c r="C284" s="3"/>
      <x:c r="D284" s="3"/>
      <x:c r="E284" s="3"/>
      <x:c r="F284" s="3"/>
      <x:c r="G284" s="3"/>
      <x:c r="H284" s="3"/>
      <x:c r="I284" s="3"/>
      <x:c r="J284" s="3"/>
      <x:c r="K284" s="3"/>
      <x:c r="L284" s="6"/>
      <x:c r="M284" s="6"/>
      <x:c r="N284" s="6"/>
      <x:c r="O284" s="6"/>
      <x:c r="P284" s="6"/>
      <x:c r="Q284" s="7"/>
      <x:c r="R284" s="7"/>
      <x:c r="S284" s="7"/>
      <x:c r="T284" s="7"/>
      <x:c r="U284" s="7"/>
      <x:c r="V284" s="7"/>
      <x:c r="W284" s="7"/>
      <x:c r="X284" s="7"/>
      <x:c r="Y284" s="7"/>
      <x:c r="Z284" s="7"/>
      <x:c r="AA284" s="7"/>
      <x:c r="AB284" s="7"/>
      <x:c r="AC284" s="7"/>
      <x:c r="AD284" s="7"/>
      <x:c r="AE284" s="3"/>
      <x:c r="AF284" s="3"/>
      <x:c r="AG284" s="3"/>
      <x:c r="AH284" s="3"/>
      <x:c r="AI284" s="3"/>
      <x:c r="AJ284" s="9" t="str">
        <x:f>IF(A284="","",A284&amp;"|"&amp;B284)</x:f>
      </x:c>
      <x:c r="AK284" s="9" t="str">
        <x:f>IF(A284="",IF(B284="","","MISSING_TEST_ID"),IF(B284="","MISSING_RUN_ID",IF(COUNTIFS($A$2:$A$501,A284,$B$2:$B$501,B284)&lt;&gt;1,"DUPLICATE_ID","OK")))</x:f>
      </x:c>
      <x:c r="AL284" s="9" t="str">
        <x:f>IF(A284="","",IF(AND(AK284="OK",J284="READY",F284&lt;&gt;"",G284&lt;&gt;"",K284&lt;&gt;"",OR(L284="PASS",L284="FAIL"),M284&lt;&gt;"",P284="social-publication-v2"),"YES","NO"))</x:f>
      </x:c>
      <x:c r="AM284" s="9" t="str">
        <x:f>IF(A284="","",IF(AND(AK284="OK",J284="READY",F284&lt;&gt;"",G284&lt;&gt;"",K284&lt;&gt;"",S284="OK",OR(R284="PASS",R284="FAIL")),"YES","NO"))</x:f>
      </x:c>
      <x:c r="AN284" s="9" t="str">
        <x:f>IF(A284="","",F284&amp;" | "&amp;G284&amp;" | "&amp;H284&amp;" | "&amp;I284)</x:f>
      </x:c>
    </x:row>
    <x:row r="285" ht="33" customHeight="1">
      <x:c r="A285" s="3"/>
      <x:c r="B285" s="3"/>
      <x:c r="C285" s="3"/>
      <x:c r="D285" s="3"/>
      <x:c r="E285" s="3"/>
      <x:c r="F285" s="3"/>
      <x:c r="G285" s="3"/>
      <x:c r="H285" s="3"/>
      <x:c r="I285" s="3"/>
      <x:c r="J285" s="3"/>
      <x:c r="K285" s="3"/>
      <x:c r="L285" s="6"/>
      <x:c r="M285" s="6"/>
      <x:c r="N285" s="6"/>
      <x:c r="O285" s="6"/>
      <x:c r="P285" s="6"/>
      <x:c r="Q285" s="7"/>
      <x:c r="R285" s="7"/>
      <x:c r="S285" s="7"/>
      <x:c r="T285" s="7"/>
      <x:c r="U285" s="7"/>
      <x:c r="V285" s="7"/>
      <x:c r="W285" s="7"/>
      <x:c r="X285" s="7"/>
      <x:c r="Y285" s="7"/>
      <x:c r="Z285" s="7"/>
      <x:c r="AA285" s="7"/>
      <x:c r="AB285" s="7"/>
      <x:c r="AC285" s="7"/>
      <x:c r="AD285" s="7"/>
      <x:c r="AE285" s="3"/>
      <x:c r="AF285" s="3"/>
      <x:c r="AG285" s="3"/>
      <x:c r="AH285" s="3"/>
      <x:c r="AI285" s="3"/>
      <x:c r="AJ285" s="9" t="str">
        <x:f>IF(A285="","",A285&amp;"|"&amp;B285)</x:f>
      </x:c>
      <x:c r="AK285" s="9" t="str">
        <x:f>IF(A285="",IF(B285="","","MISSING_TEST_ID"),IF(B285="","MISSING_RUN_ID",IF(COUNTIFS($A$2:$A$501,A285,$B$2:$B$501,B285)&lt;&gt;1,"DUPLICATE_ID","OK")))</x:f>
      </x:c>
      <x:c r="AL285" s="9" t="str">
        <x:f>IF(A285="","",IF(AND(AK285="OK",J285="READY",F285&lt;&gt;"",G285&lt;&gt;"",K285&lt;&gt;"",OR(L285="PASS",L285="FAIL"),M285&lt;&gt;"",P285="social-publication-v2"),"YES","NO"))</x:f>
      </x:c>
      <x:c r="AM285" s="9" t="str">
        <x:f>IF(A285="","",IF(AND(AK285="OK",J285="READY",F285&lt;&gt;"",G285&lt;&gt;"",K285&lt;&gt;"",S285="OK",OR(R285="PASS",R285="FAIL")),"YES","NO"))</x:f>
      </x:c>
      <x:c r="AN285" s="9" t="str">
        <x:f>IF(A285="","",F285&amp;" | "&amp;G285&amp;" | "&amp;H285&amp;" | "&amp;I285)</x:f>
      </x:c>
    </x:row>
    <x:row r="286" ht="33" customHeight="1">
      <x:c r="A286" s="3"/>
      <x:c r="B286" s="3"/>
      <x:c r="C286" s="3"/>
      <x:c r="D286" s="3"/>
      <x:c r="E286" s="3"/>
      <x:c r="F286" s="3"/>
      <x:c r="G286" s="3"/>
      <x:c r="H286" s="3"/>
      <x:c r="I286" s="3"/>
      <x:c r="J286" s="3"/>
      <x:c r="K286" s="3"/>
      <x:c r="L286" s="6"/>
      <x:c r="M286" s="6"/>
      <x:c r="N286" s="6"/>
      <x:c r="O286" s="6"/>
      <x:c r="P286" s="6"/>
      <x:c r="Q286" s="7"/>
      <x:c r="R286" s="7"/>
      <x:c r="S286" s="7"/>
      <x:c r="T286" s="7"/>
      <x:c r="U286" s="7"/>
      <x:c r="V286" s="7"/>
      <x:c r="W286" s="7"/>
      <x:c r="X286" s="7"/>
      <x:c r="Y286" s="7"/>
      <x:c r="Z286" s="7"/>
      <x:c r="AA286" s="7"/>
      <x:c r="AB286" s="7"/>
      <x:c r="AC286" s="7"/>
      <x:c r="AD286" s="7"/>
      <x:c r="AE286" s="3"/>
      <x:c r="AF286" s="3"/>
      <x:c r="AG286" s="3"/>
      <x:c r="AH286" s="3"/>
      <x:c r="AI286" s="3"/>
      <x:c r="AJ286" s="9" t="str">
        <x:f>IF(A286="","",A286&amp;"|"&amp;B286)</x:f>
      </x:c>
      <x:c r="AK286" s="9" t="str">
        <x:f>IF(A286="",IF(B286="","","MISSING_TEST_ID"),IF(B286="","MISSING_RUN_ID",IF(COUNTIFS($A$2:$A$501,A286,$B$2:$B$501,B286)&lt;&gt;1,"DUPLICATE_ID","OK")))</x:f>
      </x:c>
      <x:c r="AL286" s="9" t="str">
        <x:f>IF(A286="","",IF(AND(AK286="OK",J286="READY",F286&lt;&gt;"",G286&lt;&gt;"",K286&lt;&gt;"",OR(L286="PASS",L286="FAIL"),M286&lt;&gt;"",P286="social-publication-v2"),"YES","NO"))</x:f>
      </x:c>
      <x:c r="AM286" s="9" t="str">
        <x:f>IF(A286="","",IF(AND(AK286="OK",J286="READY",F286&lt;&gt;"",G286&lt;&gt;"",K286&lt;&gt;"",S286="OK",OR(R286="PASS",R286="FAIL")),"YES","NO"))</x:f>
      </x:c>
      <x:c r="AN286" s="9" t="str">
        <x:f>IF(A286="","",F286&amp;" | "&amp;G286&amp;" | "&amp;H286&amp;" | "&amp;I286)</x:f>
      </x:c>
    </x:row>
    <x:row r="287" ht="33" customHeight="1">
      <x:c r="A287" s="3"/>
      <x:c r="B287" s="3"/>
      <x:c r="C287" s="3"/>
      <x:c r="D287" s="3"/>
      <x:c r="E287" s="3"/>
      <x:c r="F287" s="3"/>
      <x:c r="G287" s="3"/>
      <x:c r="H287" s="3"/>
      <x:c r="I287" s="3"/>
      <x:c r="J287" s="3"/>
      <x:c r="K287" s="3"/>
      <x:c r="L287" s="6"/>
      <x:c r="M287" s="6"/>
      <x:c r="N287" s="6"/>
      <x:c r="O287" s="6"/>
      <x:c r="P287" s="6"/>
      <x:c r="Q287" s="7"/>
      <x:c r="R287" s="7"/>
      <x:c r="S287" s="7"/>
      <x:c r="T287" s="7"/>
      <x:c r="U287" s="7"/>
      <x:c r="V287" s="7"/>
      <x:c r="W287" s="7"/>
      <x:c r="X287" s="7"/>
      <x:c r="Y287" s="7"/>
      <x:c r="Z287" s="7"/>
      <x:c r="AA287" s="7"/>
      <x:c r="AB287" s="7"/>
      <x:c r="AC287" s="7"/>
      <x:c r="AD287" s="7"/>
      <x:c r="AE287" s="3"/>
      <x:c r="AF287" s="3"/>
      <x:c r="AG287" s="3"/>
      <x:c r="AH287" s="3"/>
      <x:c r="AI287" s="3"/>
      <x:c r="AJ287" s="9" t="str">
        <x:f>IF(A287="","",A287&amp;"|"&amp;B287)</x:f>
      </x:c>
      <x:c r="AK287" s="9" t="str">
        <x:f>IF(A287="",IF(B287="","","MISSING_TEST_ID"),IF(B287="","MISSING_RUN_ID",IF(COUNTIFS($A$2:$A$501,A287,$B$2:$B$501,B287)&lt;&gt;1,"DUPLICATE_ID","OK")))</x:f>
      </x:c>
      <x:c r="AL287" s="9" t="str">
        <x:f>IF(A287="","",IF(AND(AK287="OK",J287="READY",F287&lt;&gt;"",G287&lt;&gt;"",K287&lt;&gt;"",OR(L287="PASS",L287="FAIL"),M287&lt;&gt;"",P287="social-publication-v2"),"YES","NO"))</x:f>
      </x:c>
      <x:c r="AM287" s="9" t="str">
        <x:f>IF(A287="","",IF(AND(AK287="OK",J287="READY",F287&lt;&gt;"",G287&lt;&gt;"",K287&lt;&gt;"",S287="OK",OR(R287="PASS",R287="FAIL")),"YES","NO"))</x:f>
      </x:c>
      <x:c r="AN287" s="9" t="str">
        <x:f>IF(A287="","",F287&amp;" | "&amp;G287&amp;" | "&amp;H287&amp;" | "&amp;I287)</x:f>
      </x:c>
    </x:row>
    <x:row r="288" ht="33" customHeight="1">
      <x:c r="A288" s="3"/>
      <x:c r="B288" s="3"/>
      <x:c r="C288" s="3"/>
      <x:c r="D288" s="3"/>
      <x:c r="E288" s="3"/>
      <x:c r="F288" s="3"/>
      <x:c r="G288" s="3"/>
      <x:c r="H288" s="3"/>
      <x:c r="I288" s="3"/>
      <x:c r="J288" s="3"/>
      <x:c r="K288" s="3"/>
      <x:c r="L288" s="6"/>
      <x:c r="M288" s="6"/>
      <x:c r="N288" s="6"/>
      <x:c r="O288" s="6"/>
      <x:c r="P288" s="6"/>
      <x:c r="Q288" s="7"/>
      <x:c r="R288" s="7"/>
      <x:c r="S288" s="7"/>
      <x:c r="T288" s="7"/>
      <x:c r="U288" s="7"/>
      <x:c r="V288" s="7"/>
      <x:c r="W288" s="7"/>
      <x:c r="X288" s="7"/>
      <x:c r="Y288" s="7"/>
      <x:c r="Z288" s="7"/>
      <x:c r="AA288" s="7"/>
      <x:c r="AB288" s="7"/>
      <x:c r="AC288" s="7"/>
      <x:c r="AD288" s="7"/>
      <x:c r="AE288" s="3"/>
      <x:c r="AF288" s="3"/>
      <x:c r="AG288" s="3"/>
      <x:c r="AH288" s="3"/>
      <x:c r="AI288" s="3"/>
      <x:c r="AJ288" s="9" t="str">
        <x:f>IF(A288="","",A288&amp;"|"&amp;B288)</x:f>
      </x:c>
      <x:c r="AK288" s="9" t="str">
        <x:f>IF(A288="",IF(B288="","","MISSING_TEST_ID"),IF(B288="","MISSING_RUN_ID",IF(COUNTIFS($A$2:$A$501,A288,$B$2:$B$501,B288)&lt;&gt;1,"DUPLICATE_ID","OK")))</x:f>
      </x:c>
      <x:c r="AL288" s="9" t="str">
        <x:f>IF(A288="","",IF(AND(AK288="OK",J288="READY",F288&lt;&gt;"",G288&lt;&gt;"",K288&lt;&gt;"",OR(L288="PASS",L288="FAIL"),M288&lt;&gt;"",P288="social-publication-v2"),"YES","NO"))</x:f>
      </x:c>
      <x:c r="AM288" s="9" t="str">
        <x:f>IF(A288="","",IF(AND(AK288="OK",J288="READY",F288&lt;&gt;"",G288&lt;&gt;"",K288&lt;&gt;"",S288="OK",OR(R288="PASS",R288="FAIL")),"YES","NO"))</x:f>
      </x:c>
      <x:c r="AN288" s="9" t="str">
        <x:f>IF(A288="","",F288&amp;" | "&amp;G288&amp;" | "&amp;H288&amp;" | "&amp;I288)</x:f>
      </x:c>
    </x:row>
    <x:row r="289" ht="33" customHeight="1">
      <x:c r="A289" s="3"/>
      <x:c r="B289" s="3"/>
      <x:c r="C289" s="3"/>
      <x:c r="D289" s="3"/>
      <x:c r="E289" s="3"/>
      <x:c r="F289" s="3"/>
      <x:c r="G289" s="3"/>
      <x:c r="H289" s="3"/>
      <x:c r="I289" s="3"/>
      <x:c r="J289" s="3"/>
      <x:c r="K289" s="3"/>
      <x:c r="L289" s="6"/>
      <x:c r="M289" s="6"/>
      <x:c r="N289" s="6"/>
      <x:c r="O289" s="6"/>
      <x:c r="P289" s="6"/>
      <x:c r="Q289" s="7"/>
      <x:c r="R289" s="7"/>
      <x:c r="S289" s="7"/>
      <x:c r="T289" s="7"/>
      <x:c r="U289" s="7"/>
      <x:c r="V289" s="7"/>
      <x:c r="W289" s="7"/>
      <x:c r="X289" s="7"/>
      <x:c r="Y289" s="7"/>
      <x:c r="Z289" s="7"/>
      <x:c r="AA289" s="7"/>
      <x:c r="AB289" s="7"/>
      <x:c r="AC289" s="7"/>
      <x:c r="AD289" s="7"/>
      <x:c r="AE289" s="3"/>
      <x:c r="AF289" s="3"/>
      <x:c r="AG289" s="3"/>
      <x:c r="AH289" s="3"/>
      <x:c r="AI289" s="3"/>
      <x:c r="AJ289" s="9" t="str">
        <x:f>IF(A289="","",A289&amp;"|"&amp;B289)</x:f>
      </x:c>
      <x:c r="AK289" s="9" t="str">
        <x:f>IF(A289="",IF(B289="","","MISSING_TEST_ID"),IF(B289="","MISSING_RUN_ID",IF(COUNTIFS($A$2:$A$501,A289,$B$2:$B$501,B289)&lt;&gt;1,"DUPLICATE_ID","OK")))</x:f>
      </x:c>
      <x:c r="AL289" s="9" t="str">
        <x:f>IF(A289="","",IF(AND(AK289="OK",J289="READY",F289&lt;&gt;"",G289&lt;&gt;"",K289&lt;&gt;"",OR(L289="PASS",L289="FAIL"),M289&lt;&gt;"",P289="social-publication-v2"),"YES","NO"))</x:f>
      </x:c>
      <x:c r="AM289" s="9" t="str">
        <x:f>IF(A289="","",IF(AND(AK289="OK",J289="READY",F289&lt;&gt;"",G289&lt;&gt;"",K289&lt;&gt;"",S289="OK",OR(R289="PASS",R289="FAIL")),"YES","NO"))</x:f>
      </x:c>
      <x:c r="AN289" s="9" t="str">
        <x:f>IF(A289="","",F289&amp;" | "&amp;G289&amp;" | "&amp;H289&amp;" | "&amp;I289)</x:f>
      </x:c>
    </x:row>
    <x:row r="290" ht="33" customHeight="1">
      <x:c r="A290" s="3"/>
      <x:c r="B290" s="3"/>
      <x:c r="C290" s="3"/>
      <x:c r="D290" s="3"/>
      <x:c r="E290" s="3"/>
      <x:c r="F290" s="3"/>
      <x:c r="G290" s="3"/>
      <x:c r="H290" s="3"/>
      <x:c r="I290" s="3"/>
      <x:c r="J290" s="3"/>
      <x:c r="K290" s="3"/>
      <x:c r="L290" s="6"/>
      <x:c r="M290" s="6"/>
      <x:c r="N290" s="6"/>
      <x:c r="O290" s="6"/>
      <x:c r="P290" s="6"/>
      <x:c r="Q290" s="7"/>
      <x:c r="R290" s="7"/>
      <x:c r="S290" s="7"/>
      <x:c r="T290" s="7"/>
      <x:c r="U290" s="7"/>
      <x:c r="V290" s="7"/>
      <x:c r="W290" s="7"/>
      <x:c r="X290" s="7"/>
      <x:c r="Y290" s="7"/>
      <x:c r="Z290" s="7"/>
      <x:c r="AA290" s="7"/>
      <x:c r="AB290" s="7"/>
      <x:c r="AC290" s="7"/>
      <x:c r="AD290" s="7"/>
      <x:c r="AE290" s="3"/>
      <x:c r="AF290" s="3"/>
      <x:c r="AG290" s="3"/>
      <x:c r="AH290" s="3"/>
      <x:c r="AI290" s="3"/>
      <x:c r="AJ290" s="9" t="str">
        <x:f>IF(A290="","",A290&amp;"|"&amp;B290)</x:f>
      </x:c>
      <x:c r="AK290" s="9" t="str">
        <x:f>IF(A290="",IF(B290="","","MISSING_TEST_ID"),IF(B290="","MISSING_RUN_ID",IF(COUNTIFS($A$2:$A$501,A290,$B$2:$B$501,B290)&lt;&gt;1,"DUPLICATE_ID","OK")))</x:f>
      </x:c>
      <x:c r="AL290" s="9" t="str">
        <x:f>IF(A290="","",IF(AND(AK290="OK",J290="READY",F290&lt;&gt;"",G290&lt;&gt;"",K290&lt;&gt;"",OR(L290="PASS",L290="FAIL"),M290&lt;&gt;"",P290="social-publication-v2"),"YES","NO"))</x:f>
      </x:c>
      <x:c r="AM290" s="9" t="str">
        <x:f>IF(A290="","",IF(AND(AK290="OK",J290="READY",F290&lt;&gt;"",G290&lt;&gt;"",K290&lt;&gt;"",S290="OK",OR(R290="PASS",R290="FAIL")),"YES","NO"))</x:f>
      </x:c>
      <x:c r="AN290" s="9" t="str">
        <x:f>IF(A290="","",F290&amp;" | "&amp;G290&amp;" | "&amp;H290&amp;" | "&amp;I290)</x:f>
      </x:c>
    </x:row>
    <x:row r="291" ht="33" customHeight="1">
      <x:c r="A291" s="3"/>
      <x:c r="B291" s="3"/>
      <x:c r="C291" s="3"/>
      <x:c r="D291" s="3"/>
      <x:c r="E291" s="3"/>
      <x:c r="F291" s="3"/>
      <x:c r="G291" s="3"/>
      <x:c r="H291" s="3"/>
      <x:c r="I291" s="3"/>
      <x:c r="J291" s="3"/>
      <x:c r="K291" s="3"/>
      <x:c r="L291" s="6"/>
      <x:c r="M291" s="6"/>
      <x:c r="N291" s="6"/>
      <x:c r="O291" s="6"/>
      <x:c r="P291" s="6"/>
      <x:c r="Q291" s="7"/>
      <x:c r="R291" s="7"/>
      <x:c r="S291" s="7"/>
      <x:c r="T291" s="7"/>
      <x:c r="U291" s="7"/>
      <x:c r="V291" s="7"/>
      <x:c r="W291" s="7"/>
      <x:c r="X291" s="7"/>
      <x:c r="Y291" s="7"/>
      <x:c r="Z291" s="7"/>
      <x:c r="AA291" s="7"/>
      <x:c r="AB291" s="7"/>
      <x:c r="AC291" s="7"/>
      <x:c r="AD291" s="7"/>
      <x:c r="AE291" s="3"/>
      <x:c r="AF291" s="3"/>
      <x:c r="AG291" s="3"/>
      <x:c r="AH291" s="3"/>
      <x:c r="AI291" s="3"/>
      <x:c r="AJ291" s="9" t="str">
        <x:f>IF(A291="","",A291&amp;"|"&amp;B291)</x:f>
      </x:c>
      <x:c r="AK291" s="9" t="str">
        <x:f>IF(A291="",IF(B291="","","MISSING_TEST_ID"),IF(B291="","MISSING_RUN_ID",IF(COUNTIFS($A$2:$A$501,A291,$B$2:$B$501,B291)&lt;&gt;1,"DUPLICATE_ID","OK")))</x:f>
      </x:c>
      <x:c r="AL291" s="9" t="str">
        <x:f>IF(A291="","",IF(AND(AK291="OK",J291="READY",F291&lt;&gt;"",G291&lt;&gt;"",K291&lt;&gt;"",OR(L291="PASS",L291="FAIL"),M291&lt;&gt;"",P291="social-publication-v2"),"YES","NO"))</x:f>
      </x:c>
      <x:c r="AM291" s="9" t="str">
        <x:f>IF(A291="","",IF(AND(AK291="OK",J291="READY",F291&lt;&gt;"",G291&lt;&gt;"",K291&lt;&gt;"",S291="OK",OR(R291="PASS",R291="FAIL")),"YES","NO"))</x:f>
      </x:c>
      <x:c r="AN291" s="9" t="str">
        <x:f>IF(A291="","",F291&amp;" | "&amp;G291&amp;" | "&amp;H291&amp;" | "&amp;I291)</x:f>
      </x:c>
    </x:row>
    <x:row r="292" ht="33" customHeight="1">
      <x:c r="A292" s="3"/>
      <x:c r="B292" s="3"/>
      <x:c r="C292" s="3"/>
      <x:c r="D292" s="3"/>
      <x:c r="E292" s="3"/>
      <x:c r="F292" s="3"/>
      <x:c r="G292" s="3"/>
      <x:c r="H292" s="3"/>
      <x:c r="I292" s="3"/>
      <x:c r="J292" s="3"/>
      <x:c r="K292" s="3"/>
      <x:c r="L292" s="6"/>
      <x:c r="M292" s="6"/>
      <x:c r="N292" s="6"/>
      <x:c r="O292" s="6"/>
      <x:c r="P292" s="6"/>
      <x:c r="Q292" s="7"/>
      <x:c r="R292" s="7"/>
      <x:c r="S292" s="7"/>
      <x:c r="T292" s="7"/>
      <x:c r="U292" s="7"/>
      <x:c r="V292" s="7"/>
      <x:c r="W292" s="7"/>
      <x:c r="X292" s="7"/>
      <x:c r="Y292" s="7"/>
      <x:c r="Z292" s="7"/>
      <x:c r="AA292" s="7"/>
      <x:c r="AB292" s="7"/>
      <x:c r="AC292" s="7"/>
      <x:c r="AD292" s="7"/>
      <x:c r="AE292" s="3"/>
      <x:c r="AF292" s="3"/>
      <x:c r="AG292" s="3"/>
      <x:c r="AH292" s="3"/>
      <x:c r="AI292" s="3"/>
      <x:c r="AJ292" s="9" t="str">
        <x:f>IF(A292="","",A292&amp;"|"&amp;B292)</x:f>
      </x:c>
      <x:c r="AK292" s="9" t="str">
        <x:f>IF(A292="",IF(B292="","","MISSING_TEST_ID"),IF(B292="","MISSING_RUN_ID",IF(COUNTIFS($A$2:$A$501,A292,$B$2:$B$501,B292)&lt;&gt;1,"DUPLICATE_ID","OK")))</x:f>
      </x:c>
      <x:c r="AL292" s="9" t="str">
        <x:f>IF(A292="","",IF(AND(AK292="OK",J292="READY",F292&lt;&gt;"",G292&lt;&gt;"",K292&lt;&gt;"",OR(L292="PASS",L292="FAIL"),M292&lt;&gt;"",P292="social-publication-v2"),"YES","NO"))</x:f>
      </x:c>
      <x:c r="AM292" s="9" t="str">
        <x:f>IF(A292="","",IF(AND(AK292="OK",J292="READY",F292&lt;&gt;"",G292&lt;&gt;"",K292&lt;&gt;"",S292="OK",OR(R292="PASS",R292="FAIL")),"YES","NO"))</x:f>
      </x:c>
      <x:c r="AN292" s="9" t="str">
        <x:f>IF(A292="","",F292&amp;" | "&amp;G292&amp;" | "&amp;H292&amp;" | "&amp;I292)</x:f>
      </x:c>
    </x:row>
    <x:row r="293" ht="33" customHeight="1">
      <x:c r="A293" s="3"/>
      <x:c r="B293" s="3"/>
      <x:c r="C293" s="3"/>
      <x:c r="D293" s="3"/>
      <x:c r="E293" s="3"/>
      <x:c r="F293" s="3"/>
      <x:c r="G293" s="3"/>
      <x:c r="H293" s="3"/>
      <x:c r="I293" s="3"/>
      <x:c r="J293" s="3"/>
      <x:c r="K293" s="3"/>
      <x:c r="L293" s="6"/>
      <x:c r="M293" s="6"/>
      <x:c r="N293" s="6"/>
      <x:c r="O293" s="6"/>
      <x:c r="P293" s="6"/>
      <x:c r="Q293" s="7"/>
      <x:c r="R293" s="7"/>
      <x:c r="S293" s="7"/>
      <x:c r="T293" s="7"/>
      <x:c r="U293" s="7"/>
      <x:c r="V293" s="7"/>
      <x:c r="W293" s="7"/>
      <x:c r="X293" s="7"/>
      <x:c r="Y293" s="7"/>
      <x:c r="Z293" s="7"/>
      <x:c r="AA293" s="7"/>
      <x:c r="AB293" s="7"/>
      <x:c r="AC293" s="7"/>
      <x:c r="AD293" s="7"/>
      <x:c r="AE293" s="3"/>
      <x:c r="AF293" s="3"/>
      <x:c r="AG293" s="3"/>
      <x:c r="AH293" s="3"/>
      <x:c r="AI293" s="3"/>
      <x:c r="AJ293" s="9" t="str">
        <x:f>IF(A293="","",A293&amp;"|"&amp;B293)</x:f>
      </x:c>
      <x:c r="AK293" s="9" t="str">
        <x:f>IF(A293="",IF(B293="","","MISSING_TEST_ID"),IF(B293="","MISSING_RUN_ID",IF(COUNTIFS($A$2:$A$501,A293,$B$2:$B$501,B293)&lt;&gt;1,"DUPLICATE_ID","OK")))</x:f>
      </x:c>
      <x:c r="AL293" s="9" t="str">
        <x:f>IF(A293="","",IF(AND(AK293="OK",J293="READY",F293&lt;&gt;"",G293&lt;&gt;"",K293&lt;&gt;"",OR(L293="PASS",L293="FAIL"),M293&lt;&gt;"",P293="social-publication-v2"),"YES","NO"))</x:f>
      </x:c>
      <x:c r="AM293" s="9" t="str">
        <x:f>IF(A293="","",IF(AND(AK293="OK",J293="READY",F293&lt;&gt;"",G293&lt;&gt;"",K293&lt;&gt;"",S293="OK",OR(R293="PASS",R293="FAIL")),"YES","NO"))</x:f>
      </x:c>
      <x:c r="AN293" s="9" t="str">
        <x:f>IF(A293="","",F293&amp;" | "&amp;G293&amp;" | "&amp;H293&amp;" | "&amp;I293)</x:f>
      </x:c>
    </x:row>
    <x:row r="294" ht="33" customHeight="1">
      <x:c r="A294" s="3"/>
      <x:c r="B294" s="3"/>
      <x:c r="C294" s="3"/>
      <x:c r="D294" s="3"/>
      <x:c r="E294" s="3"/>
      <x:c r="F294" s="3"/>
      <x:c r="G294" s="3"/>
      <x:c r="H294" s="3"/>
      <x:c r="I294" s="3"/>
      <x:c r="J294" s="3"/>
      <x:c r="K294" s="3"/>
      <x:c r="L294" s="6"/>
      <x:c r="M294" s="6"/>
      <x:c r="N294" s="6"/>
      <x:c r="O294" s="6"/>
      <x:c r="P294" s="6"/>
      <x:c r="Q294" s="7"/>
      <x:c r="R294" s="7"/>
      <x:c r="S294" s="7"/>
      <x:c r="T294" s="7"/>
      <x:c r="U294" s="7"/>
      <x:c r="V294" s="7"/>
      <x:c r="W294" s="7"/>
      <x:c r="X294" s="7"/>
      <x:c r="Y294" s="7"/>
      <x:c r="Z294" s="7"/>
      <x:c r="AA294" s="7"/>
      <x:c r="AB294" s="7"/>
      <x:c r="AC294" s="7"/>
      <x:c r="AD294" s="7"/>
      <x:c r="AE294" s="3"/>
      <x:c r="AF294" s="3"/>
      <x:c r="AG294" s="3"/>
      <x:c r="AH294" s="3"/>
      <x:c r="AI294" s="3"/>
      <x:c r="AJ294" s="9" t="str">
        <x:f>IF(A294="","",A294&amp;"|"&amp;B294)</x:f>
      </x:c>
      <x:c r="AK294" s="9" t="str">
        <x:f>IF(A294="",IF(B294="","","MISSING_TEST_ID"),IF(B294="","MISSING_RUN_ID",IF(COUNTIFS($A$2:$A$501,A294,$B$2:$B$501,B294)&lt;&gt;1,"DUPLICATE_ID","OK")))</x:f>
      </x:c>
      <x:c r="AL294" s="9" t="str">
        <x:f>IF(A294="","",IF(AND(AK294="OK",J294="READY",F294&lt;&gt;"",G294&lt;&gt;"",K294&lt;&gt;"",OR(L294="PASS",L294="FAIL"),M294&lt;&gt;"",P294="social-publication-v2"),"YES","NO"))</x:f>
      </x:c>
      <x:c r="AM294" s="9" t="str">
        <x:f>IF(A294="","",IF(AND(AK294="OK",J294="READY",F294&lt;&gt;"",G294&lt;&gt;"",K294&lt;&gt;"",S294="OK",OR(R294="PASS",R294="FAIL")),"YES","NO"))</x:f>
      </x:c>
      <x:c r="AN294" s="9" t="str">
        <x:f>IF(A294="","",F294&amp;" | "&amp;G294&amp;" | "&amp;H294&amp;" | "&amp;I294)</x:f>
      </x:c>
    </x:row>
    <x:row r="295" ht="33" customHeight="1">
      <x:c r="A295" s="3"/>
      <x:c r="B295" s="3"/>
      <x:c r="C295" s="3"/>
      <x:c r="D295" s="3"/>
      <x:c r="E295" s="3"/>
      <x:c r="F295" s="3"/>
      <x:c r="G295" s="3"/>
      <x:c r="H295" s="3"/>
      <x:c r="I295" s="3"/>
      <x:c r="J295" s="3"/>
      <x:c r="K295" s="3"/>
      <x:c r="L295" s="6"/>
      <x:c r="M295" s="6"/>
      <x:c r="N295" s="6"/>
      <x:c r="O295" s="6"/>
      <x:c r="P295" s="6"/>
      <x:c r="Q295" s="7"/>
      <x:c r="R295" s="7"/>
      <x:c r="S295" s="7"/>
      <x:c r="T295" s="7"/>
      <x:c r="U295" s="7"/>
      <x:c r="V295" s="7"/>
      <x:c r="W295" s="7"/>
      <x:c r="X295" s="7"/>
      <x:c r="Y295" s="7"/>
      <x:c r="Z295" s="7"/>
      <x:c r="AA295" s="7"/>
      <x:c r="AB295" s="7"/>
      <x:c r="AC295" s="7"/>
      <x:c r="AD295" s="7"/>
      <x:c r="AE295" s="3"/>
      <x:c r="AF295" s="3"/>
      <x:c r="AG295" s="3"/>
      <x:c r="AH295" s="3"/>
      <x:c r="AI295" s="3"/>
      <x:c r="AJ295" s="9" t="str">
        <x:f>IF(A295="","",A295&amp;"|"&amp;B295)</x:f>
      </x:c>
      <x:c r="AK295" s="9" t="str">
        <x:f>IF(A295="",IF(B295="","","MISSING_TEST_ID"),IF(B295="","MISSING_RUN_ID",IF(COUNTIFS($A$2:$A$501,A295,$B$2:$B$501,B295)&lt;&gt;1,"DUPLICATE_ID","OK")))</x:f>
      </x:c>
      <x:c r="AL295" s="9" t="str">
        <x:f>IF(A295="","",IF(AND(AK295="OK",J295="READY",F295&lt;&gt;"",G295&lt;&gt;"",K295&lt;&gt;"",OR(L295="PASS",L295="FAIL"),M295&lt;&gt;"",P295="social-publication-v2"),"YES","NO"))</x:f>
      </x:c>
      <x:c r="AM295" s="9" t="str">
        <x:f>IF(A295="","",IF(AND(AK295="OK",J295="READY",F295&lt;&gt;"",G295&lt;&gt;"",K295&lt;&gt;"",S295="OK",OR(R295="PASS",R295="FAIL")),"YES","NO"))</x:f>
      </x:c>
      <x:c r="AN295" s="9" t="str">
        <x:f>IF(A295="","",F295&amp;" | "&amp;G295&amp;" | "&amp;H295&amp;" | "&amp;I295)</x:f>
      </x:c>
    </x:row>
    <x:row r="296" ht="33" customHeight="1">
      <x:c r="A296" s="3"/>
      <x:c r="B296" s="3"/>
      <x:c r="C296" s="3"/>
      <x:c r="D296" s="3"/>
      <x:c r="E296" s="3"/>
      <x:c r="F296" s="3"/>
      <x:c r="G296" s="3"/>
      <x:c r="H296" s="3"/>
      <x:c r="I296" s="3"/>
      <x:c r="J296" s="3"/>
      <x:c r="K296" s="3"/>
      <x:c r="L296" s="6"/>
      <x:c r="M296" s="6"/>
      <x:c r="N296" s="6"/>
      <x:c r="O296" s="6"/>
      <x:c r="P296" s="6"/>
      <x:c r="Q296" s="7"/>
      <x:c r="R296" s="7"/>
      <x:c r="S296" s="7"/>
      <x:c r="T296" s="7"/>
      <x:c r="U296" s="7"/>
      <x:c r="V296" s="7"/>
      <x:c r="W296" s="7"/>
      <x:c r="X296" s="7"/>
      <x:c r="Y296" s="7"/>
      <x:c r="Z296" s="7"/>
      <x:c r="AA296" s="7"/>
      <x:c r="AB296" s="7"/>
      <x:c r="AC296" s="7"/>
      <x:c r="AD296" s="7"/>
      <x:c r="AE296" s="3"/>
      <x:c r="AF296" s="3"/>
      <x:c r="AG296" s="3"/>
      <x:c r="AH296" s="3"/>
      <x:c r="AI296" s="3"/>
      <x:c r="AJ296" s="9" t="str">
        <x:f>IF(A296="","",A296&amp;"|"&amp;B296)</x:f>
      </x:c>
      <x:c r="AK296" s="9" t="str">
        <x:f>IF(A296="",IF(B296="","","MISSING_TEST_ID"),IF(B296="","MISSING_RUN_ID",IF(COUNTIFS($A$2:$A$501,A296,$B$2:$B$501,B296)&lt;&gt;1,"DUPLICATE_ID","OK")))</x:f>
      </x:c>
      <x:c r="AL296" s="9" t="str">
        <x:f>IF(A296="","",IF(AND(AK296="OK",J296="READY",F296&lt;&gt;"",G296&lt;&gt;"",K296&lt;&gt;"",OR(L296="PASS",L296="FAIL"),M296&lt;&gt;"",P296="social-publication-v2"),"YES","NO"))</x:f>
      </x:c>
      <x:c r="AM296" s="9" t="str">
        <x:f>IF(A296="","",IF(AND(AK296="OK",J296="READY",F296&lt;&gt;"",G296&lt;&gt;"",K296&lt;&gt;"",S296="OK",OR(R296="PASS",R296="FAIL")),"YES","NO"))</x:f>
      </x:c>
      <x:c r="AN296" s="9" t="str">
        <x:f>IF(A296="","",F296&amp;" | "&amp;G296&amp;" | "&amp;H296&amp;" | "&amp;I296)</x:f>
      </x:c>
    </x:row>
    <x:row r="297" ht="33" customHeight="1">
      <x:c r="A297" s="3"/>
      <x:c r="B297" s="3"/>
      <x:c r="C297" s="3"/>
      <x:c r="D297" s="3"/>
      <x:c r="E297" s="3"/>
      <x:c r="F297" s="3"/>
      <x:c r="G297" s="3"/>
      <x:c r="H297" s="3"/>
      <x:c r="I297" s="3"/>
      <x:c r="J297" s="3"/>
      <x:c r="K297" s="3"/>
      <x:c r="L297" s="6"/>
      <x:c r="M297" s="6"/>
      <x:c r="N297" s="6"/>
      <x:c r="O297" s="6"/>
      <x:c r="P297" s="6"/>
      <x:c r="Q297" s="7"/>
      <x:c r="R297" s="7"/>
      <x:c r="S297" s="7"/>
      <x:c r="T297" s="7"/>
      <x:c r="U297" s="7"/>
      <x:c r="V297" s="7"/>
      <x:c r="W297" s="7"/>
      <x:c r="X297" s="7"/>
      <x:c r="Y297" s="7"/>
      <x:c r="Z297" s="7"/>
      <x:c r="AA297" s="7"/>
      <x:c r="AB297" s="7"/>
      <x:c r="AC297" s="7"/>
      <x:c r="AD297" s="7"/>
      <x:c r="AE297" s="3"/>
      <x:c r="AF297" s="3"/>
      <x:c r="AG297" s="3"/>
      <x:c r="AH297" s="3"/>
      <x:c r="AI297" s="3"/>
      <x:c r="AJ297" s="9" t="str">
        <x:f>IF(A297="","",A297&amp;"|"&amp;B297)</x:f>
      </x:c>
      <x:c r="AK297" s="9" t="str">
        <x:f>IF(A297="",IF(B297="","","MISSING_TEST_ID"),IF(B297="","MISSING_RUN_ID",IF(COUNTIFS($A$2:$A$501,A297,$B$2:$B$501,B297)&lt;&gt;1,"DUPLICATE_ID","OK")))</x:f>
      </x:c>
      <x:c r="AL297" s="9" t="str">
        <x:f>IF(A297="","",IF(AND(AK297="OK",J297="READY",F297&lt;&gt;"",G297&lt;&gt;"",K297&lt;&gt;"",OR(L297="PASS",L297="FAIL"),M297&lt;&gt;"",P297="social-publication-v2"),"YES","NO"))</x:f>
      </x:c>
      <x:c r="AM297" s="9" t="str">
        <x:f>IF(A297="","",IF(AND(AK297="OK",J297="READY",F297&lt;&gt;"",G297&lt;&gt;"",K297&lt;&gt;"",S297="OK",OR(R297="PASS",R297="FAIL")),"YES","NO"))</x:f>
      </x:c>
      <x:c r="AN297" s="9" t="str">
        <x:f>IF(A297="","",F297&amp;" | "&amp;G297&amp;" | "&amp;H297&amp;" | "&amp;I297)</x:f>
      </x:c>
    </x:row>
    <x:row r="298" ht="33" customHeight="1">
      <x:c r="A298" s="3"/>
      <x:c r="B298" s="3"/>
      <x:c r="C298" s="3"/>
      <x:c r="D298" s="3"/>
      <x:c r="E298" s="3"/>
      <x:c r="F298" s="3"/>
      <x:c r="G298" s="3"/>
      <x:c r="H298" s="3"/>
      <x:c r="I298" s="3"/>
      <x:c r="J298" s="3"/>
      <x:c r="K298" s="3"/>
      <x:c r="L298" s="6"/>
      <x:c r="M298" s="6"/>
      <x:c r="N298" s="6"/>
      <x:c r="O298" s="6"/>
      <x:c r="P298" s="6"/>
      <x:c r="Q298" s="7"/>
      <x:c r="R298" s="7"/>
      <x:c r="S298" s="7"/>
      <x:c r="T298" s="7"/>
      <x:c r="U298" s="7"/>
      <x:c r="V298" s="7"/>
      <x:c r="W298" s="7"/>
      <x:c r="X298" s="7"/>
      <x:c r="Y298" s="7"/>
      <x:c r="Z298" s="7"/>
      <x:c r="AA298" s="7"/>
      <x:c r="AB298" s="7"/>
      <x:c r="AC298" s="7"/>
      <x:c r="AD298" s="7"/>
      <x:c r="AE298" s="3"/>
      <x:c r="AF298" s="3"/>
      <x:c r="AG298" s="3"/>
      <x:c r="AH298" s="3"/>
      <x:c r="AI298" s="3"/>
      <x:c r="AJ298" s="9" t="str">
        <x:f>IF(A298="","",A298&amp;"|"&amp;B298)</x:f>
      </x:c>
      <x:c r="AK298" s="9" t="str">
        <x:f>IF(A298="",IF(B298="","","MISSING_TEST_ID"),IF(B298="","MISSING_RUN_ID",IF(COUNTIFS($A$2:$A$501,A298,$B$2:$B$501,B298)&lt;&gt;1,"DUPLICATE_ID","OK")))</x:f>
      </x:c>
      <x:c r="AL298" s="9" t="str">
        <x:f>IF(A298="","",IF(AND(AK298="OK",J298="READY",F298&lt;&gt;"",G298&lt;&gt;"",K298&lt;&gt;"",OR(L298="PASS",L298="FAIL"),M298&lt;&gt;"",P298="social-publication-v2"),"YES","NO"))</x:f>
      </x:c>
      <x:c r="AM298" s="9" t="str">
        <x:f>IF(A298="","",IF(AND(AK298="OK",J298="READY",F298&lt;&gt;"",G298&lt;&gt;"",K298&lt;&gt;"",S298="OK",OR(R298="PASS",R298="FAIL")),"YES","NO"))</x:f>
      </x:c>
      <x:c r="AN298" s="9" t="str">
        <x:f>IF(A298="","",F298&amp;" | "&amp;G298&amp;" | "&amp;H298&amp;" | "&amp;I298)</x:f>
      </x:c>
    </x:row>
    <x:row r="299" ht="33" customHeight="1">
      <x:c r="A299" s="3"/>
      <x:c r="B299" s="3"/>
      <x:c r="C299" s="3"/>
      <x:c r="D299" s="3"/>
      <x:c r="E299" s="3"/>
      <x:c r="F299" s="3"/>
      <x:c r="G299" s="3"/>
      <x:c r="H299" s="3"/>
      <x:c r="I299" s="3"/>
      <x:c r="J299" s="3"/>
      <x:c r="K299" s="3"/>
      <x:c r="L299" s="6"/>
      <x:c r="M299" s="6"/>
      <x:c r="N299" s="6"/>
      <x:c r="O299" s="6"/>
      <x:c r="P299" s="6"/>
      <x:c r="Q299" s="7"/>
      <x:c r="R299" s="7"/>
      <x:c r="S299" s="7"/>
      <x:c r="T299" s="7"/>
      <x:c r="U299" s="7"/>
      <x:c r="V299" s="7"/>
      <x:c r="W299" s="7"/>
      <x:c r="X299" s="7"/>
      <x:c r="Y299" s="7"/>
      <x:c r="Z299" s="7"/>
      <x:c r="AA299" s="7"/>
      <x:c r="AB299" s="7"/>
      <x:c r="AC299" s="7"/>
      <x:c r="AD299" s="7"/>
      <x:c r="AE299" s="3"/>
      <x:c r="AF299" s="3"/>
      <x:c r="AG299" s="3"/>
      <x:c r="AH299" s="3"/>
      <x:c r="AI299" s="3"/>
      <x:c r="AJ299" s="9" t="str">
        <x:f>IF(A299="","",A299&amp;"|"&amp;B299)</x:f>
      </x:c>
      <x:c r="AK299" s="9" t="str">
        <x:f>IF(A299="",IF(B299="","","MISSING_TEST_ID"),IF(B299="","MISSING_RUN_ID",IF(COUNTIFS($A$2:$A$501,A299,$B$2:$B$501,B299)&lt;&gt;1,"DUPLICATE_ID","OK")))</x:f>
      </x:c>
      <x:c r="AL299" s="9" t="str">
        <x:f>IF(A299="","",IF(AND(AK299="OK",J299="READY",F299&lt;&gt;"",G299&lt;&gt;"",K299&lt;&gt;"",OR(L299="PASS",L299="FAIL"),M299&lt;&gt;"",P299="social-publication-v2"),"YES","NO"))</x:f>
      </x:c>
      <x:c r="AM299" s="9" t="str">
        <x:f>IF(A299="","",IF(AND(AK299="OK",J299="READY",F299&lt;&gt;"",G299&lt;&gt;"",K299&lt;&gt;"",S299="OK",OR(R299="PASS",R299="FAIL")),"YES","NO"))</x:f>
      </x:c>
      <x:c r="AN299" s="9" t="str">
        <x:f>IF(A299="","",F299&amp;" | "&amp;G299&amp;" | "&amp;H299&amp;" | "&amp;I299)</x:f>
      </x:c>
    </x:row>
    <x:row r="300" ht="33" customHeight="1">
      <x:c r="A300" s="3"/>
      <x:c r="B300" s="3"/>
      <x:c r="C300" s="3"/>
      <x:c r="D300" s="3"/>
      <x:c r="E300" s="3"/>
      <x:c r="F300" s="3"/>
      <x:c r="G300" s="3"/>
      <x:c r="H300" s="3"/>
      <x:c r="I300" s="3"/>
      <x:c r="J300" s="3"/>
      <x:c r="K300" s="3"/>
      <x:c r="L300" s="6"/>
      <x:c r="M300" s="6"/>
      <x:c r="N300" s="6"/>
      <x:c r="O300" s="6"/>
      <x:c r="P300" s="6"/>
      <x:c r="Q300" s="7"/>
      <x:c r="R300" s="7"/>
      <x:c r="S300" s="7"/>
      <x:c r="T300" s="7"/>
      <x:c r="U300" s="7"/>
      <x:c r="V300" s="7"/>
      <x:c r="W300" s="7"/>
      <x:c r="X300" s="7"/>
      <x:c r="Y300" s="7"/>
      <x:c r="Z300" s="7"/>
      <x:c r="AA300" s="7"/>
      <x:c r="AB300" s="7"/>
      <x:c r="AC300" s="7"/>
      <x:c r="AD300" s="7"/>
      <x:c r="AE300" s="3"/>
      <x:c r="AF300" s="3"/>
      <x:c r="AG300" s="3"/>
      <x:c r="AH300" s="3"/>
      <x:c r="AI300" s="3"/>
      <x:c r="AJ300" s="9" t="str">
        <x:f>IF(A300="","",A300&amp;"|"&amp;B300)</x:f>
      </x:c>
      <x:c r="AK300" s="9" t="str">
        <x:f>IF(A300="",IF(B300="","","MISSING_TEST_ID"),IF(B300="","MISSING_RUN_ID",IF(COUNTIFS($A$2:$A$501,A300,$B$2:$B$501,B300)&lt;&gt;1,"DUPLICATE_ID","OK")))</x:f>
      </x:c>
      <x:c r="AL300" s="9" t="str">
        <x:f>IF(A300="","",IF(AND(AK300="OK",J300="READY",F300&lt;&gt;"",G300&lt;&gt;"",K300&lt;&gt;"",OR(L300="PASS",L300="FAIL"),M300&lt;&gt;"",P300="social-publication-v2"),"YES","NO"))</x:f>
      </x:c>
      <x:c r="AM300" s="9" t="str">
        <x:f>IF(A300="","",IF(AND(AK300="OK",J300="READY",F300&lt;&gt;"",G300&lt;&gt;"",K300&lt;&gt;"",S300="OK",OR(R300="PASS",R300="FAIL")),"YES","NO"))</x:f>
      </x:c>
      <x:c r="AN300" s="9" t="str">
        <x:f>IF(A300="","",F300&amp;" | "&amp;G300&amp;" | "&amp;H300&amp;" | "&amp;I300)</x:f>
      </x:c>
    </x:row>
    <x:row r="301" ht="33" customHeight="1">
      <x:c r="A301" s="3"/>
      <x:c r="B301" s="3"/>
      <x:c r="C301" s="3"/>
      <x:c r="D301" s="3"/>
      <x:c r="E301" s="3"/>
      <x:c r="F301" s="3"/>
      <x:c r="G301" s="3"/>
      <x:c r="H301" s="3"/>
      <x:c r="I301" s="3"/>
      <x:c r="J301" s="3"/>
      <x:c r="K301" s="3"/>
      <x:c r="L301" s="6"/>
      <x:c r="M301" s="6"/>
      <x:c r="N301" s="6"/>
      <x:c r="O301" s="6"/>
      <x:c r="P301" s="6"/>
      <x:c r="Q301" s="7"/>
      <x:c r="R301" s="7"/>
      <x:c r="S301" s="7"/>
      <x:c r="T301" s="7"/>
      <x:c r="U301" s="7"/>
      <x:c r="V301" s="7"/>
      <x:c r="W301" s="7"/>
      <x:c r="X301" s="7"/>
      <x:c r="Y301" s="7"/>
      <x:c r="Z301" s="7"/>
      <x:c r="AA301" s="7"/>
      <x:c r="AB301" s="7"/>
      <x:c r="AC301" s="7"/>
      <x:c r="AD301" s="7"/>
      <x:c r="AE301" s="3"/>
      <x:c r="AF301" s="3"/>
      <x:c r="AG301" s="3"/>
      <x:c r="AH301" s="3"/>
      <x:c r="AI301" s="3"/>
      <x:c r="AJ301" s="9" t="str">
        <x:f>IF(A301="","",A301&amp;"|"&amp;B301)</x:f>
      </x:c>
      <x:c r="AK301" s="9" t="str">
        <x:f>IF(A301="",IF(B301="","","MISSING_TEST_ID"),IF(B301="","MISSING_RUN_ID",IF(COUNTIFS($A$2:$A$501,A301,$B$2:$B$501,B301)&lt;&gt;1,"DUPLICATE_ID","OK")))</x:f>
      </x:c>
      <x:c r="AL301" s="9" t="str">
        <x:f>IF(A301="","",IF(AND(AK301="OK",J301="READY",F301&lt;&gt;"",G301&lt;&gt;"",K301&lt;&gt;"",OR(L301="PASS",L301="FAIL"),M301&lt;&gt;"",P301="social-publication-v2"),"YES","NO"))</x:f>
      </x:c>
      <x:c r="AM301" s="9" t="str">
        <x:f>IF(A301="","",IF(AND(AK301="OK",J301="READY",F301&lt;&gt;"",G301&lt;&gt;"",K301&lt;&gt;"",S301="OK",OR(R301="PASS",R301="FAIL")),"YES","NO"))</x:f>
      </x:c>
      <x:c r="AN301" s="9" t="str">
        <x:f>IF(A301="","",F301&amp;" | "&amp;G301&amp;" | "&amp;H301&amp;" | "&amp;I301)</x:f>
      </x:c>
    </x:row>
    <x:row r="302" ht="33" customHeight="1">
      <x:c r="A302" s="3"/>
      <x:c r="B302" s="3"/>
      <x:c r="C302" s="3"/>
      <x:c r="D302" s="3"/>
      <x:c r="E302" s="3"/>
      <x:c r="F302" s="3"/>
      <x:c r="G302" s="3"/>
      <x:c r="H302" s="3"/>
      <x:c r="I302" s="3"/>
      <x:c r="J302" s="3"/>
      <x:c r="K302" s="3"/>
      <x:c r="L302" s="6"/>
      <x:c r="M302" s="6"/>
      <x:c r="N302" s="6"/>
      <x:c r="O302" s="6"/>
      <x:c r="P302" s="6"/>
      <x:c r="Q302" s="7"/>
      <x:c r="R302" s="7"/>
      <x:c r="S302" s="7"/>
      <x:c r="T302" s="7"/>
      <x:c r="U302" s="7"/>
      <x:c r="V302" s="7"/>
      <x:c r="W302" s="7"/>
      <x:c r="X302" s="7"/>
      <x:c r="Y302" s="7"/>
      <x:c r="Z302" s="7"/>
      <x:c r="AA302" s="7"/>
      <x:c r="AB302" s="7"/>
      <x:c r="AC302" s="7"/>
      <x:c r="AD302" s="7"/>
      <x:c r="AE302" s="3"/>
      <x:c r="AF302" s="3"/>
      <x:c r="AG302" s="3"/>
      <x:c r="AH302" s="3"/>
      <x:c r="AI302" s="3"/>
      <x:c r="AJ302" s="9" t="str">
        <x:f>IF(A302="","",A302&amp;"|"&amp;B302)</x:f>
      </x:c>
      <x:c r="AK302" s="9" t="str">
        <x:f>IF(A302="",IF(B302="","","MISSING_TEST_ID"),IF(B302="","MISSING_RUN_ID",IF(COUNTIFS($A$2:$A$501,A302,$B$2:$B$501,B302)&lt;&gt;1,"DUPLICATE_ID","OK")))</x:f>
      </x:c>
      <x:c r="AL302" s="9" t="str">
        <x:f>IF(A302="","",IF(AND(AK302="OK",J302="READY",F302&lt;&gt;"",G302&lt;&gt;"",K302&lt;&gt;"",OR(L302="PASS",L302="FAIL"),M302&lt;&gt;"",P302="social-publication-v2"),"YES","NO"))</x:f>
      </x:c>
      <x:c r="AM302" s="9" t="str">
        <x:f>IF(A302="","",IF(AND(AK302="OK",J302="READY",F302&lt;&gt;"",G302&lt;&gt;"",K302&lt;&gt;"",S302="OK",OR(R302="PASS",R302="FAIL")),"YES","NO"))</x:f>
      </x:c>
      <x:c r="AN302" s="9" t="str">
        <x:f>IF(A302="","",F302&amp;" | "&amp;G302&amp;" | "&amp;H302&amp;" | "&amp;I302)</x:f>
      </x:c>
    </x:row>
    <x:row r="303" ht="33" customHeight="1">
      <x:c r="A303" s="3"/>
      <x:c r="B303" s="3"/>
      <x:c r="C303" s="3"/>
      <x:c r="D303" s="3"/>
      <x:c r="E303" s="3"/>
      <x:c r="F303" s="3"/>
      <x:c r="G303" s="3"/>
      <x:c r="H303" s="3"/>
      <x:c r="I303" s="3"/>
      <x:c r="J303" s="3"/>
      <x:c r="K303" s="3"/>
      <x:c r="L303" s="6"/>
      <x:c r="M303" s="6"/>
      <x:c r="N303" s="6"/>
      <x:c r="O303" s="6"/>
      <x:c r="P303" s="6"/>
      <x:c r="Q303" s="7"/>
      <x:c r="R303" s="7"/>
      <x:c r="S303" s="7"/>
      <x:c r="T303" s="7"/>
      <x:c r="U303" s="7"/>
      <x:c r="V303" s="7"/>
      <x:c r="W303" s="7"/>
      <x:c r="X303" s="7"/>
      <x:c r="Y303" s="7"/>
      <x:c r="Z303" s="7"/>
      <x:c r="AA303" s="7"/>
      <x:c r="AB303" s="7"/>
      <x:c r="AC303" s="7"/>
      <x:c r="AD303" s="7"/>
      <x:c r="AE303" s="3"/>
      <x:c r="AF303" s="3"/>
      <x:c r="AG303" s="3"/>
      <x:c r="AH303" s="3"/>
      <x:c r="AI303" s="3"/>
      <x:c r="AJ303" s="9" t="str">
        <x:f>IF(A303="","",A303&amp;"|"&amp;B303)</x:f>
      </x:c>
      <x:c r="AK303" s="9" t="str">
        <x:f>IF(A303="",IF(B303="","","MISSING_TEST_ID"),IF(B303="","MISSING_RUN_ID",IF(COUNTIFS($A$2:$A$501,A303,$B$2:$B$501,B303)&lt;&gt;1,"DUPLICATE_ID","OK")))</x:f>
      </x:c>
      <x:c r="AL303" s="9" t="str">
        <x:f>IF(A303="","",IF(AND(AK303="OK",J303="READY",F303&lt;&gt;"",G303&lt;&gt;"",K303&lt;&gt;"",OR(L303="PASS",L303="FAIL"),M303&lt;&gt;"",P303="social-publication-v2"),"YES","NO"))</x:f>
      </x:c>
      <x:c r="AM303" s="9" t="str">
        <x:f>IF(A303="","",IF(AND(AK303="OK",J303="READY",F303&lt;&gt;"",G303&lt;&gt;"",K303&lt;&gt;"",S303="OK",OR(R303="PASS",R303="FAIL")),"YES","NO"))</x:f>
      </x:c>
      <x:c r="AN303" s="9" t="str">
        <x:f>IF(A303="","",F303&amp;" | "&amp;G303&amp;" | "&amp;H303&amp;" | "&amp;I303)</x:f>
      </x:c>
    </x:row>
    <x:row r="304" ht="33" customHeight="1">
      <x:c r="A304" s="3"/>
      <x:c r="B304" s="3"/>
      <x:c r="C304" s="3"/>
      <x:c r="D304" s="3"/>
      <x:c r="E304" s="3"/>
      <x:c r="F304" s="3"/>
      <x:c r="G304" s="3"/>
      <x:c r="H304" s="3"/>
      <x:c r="I304" s="3"/>
      <x:c r="J304" s="3"/>
      <x:c r="K304" s="3"/>
      <x:c r="L304" s="6"/>
      <x:c r="M304" s="6"/>
      <x:c r="N304" s="6"/>
      <x:c r="O304" s="6"/>
      <x:c r="P304" s="6"/>
      <x:c r="Q304" s="7"/>
      <x:c r="R304" s="7"/>
      <x:c r="S304" s="7"/>
      <x:c r="T304" s="7"/>
      <x:c r="U304" s="7"/>
      <x:c r="V304" s="7"/>
      <x:c r="W304" s="7"/>
      <x:c r="X304" s="7"/>
      <x:c r="Y304" s="7"/>
      <x:c r="Z304" s="7"/>
      <x:c r="AA304" s="7"/>
      <x:c r="AB304" s="7"/>
      <x:c r="AC304" s="7"/>
      <x:c r="AD304" s="7"/>
      <x:c r="AE304" s="3"/>
      <x:c r="AF304" s="3"/>
      <x:c r="AG304" s="3"/>
      <x:c r="AH304" s="3"/>
      <x:c r="AI304" s="3"/>
      <x:c r="AJ304" s="9" t="str">
        <x:f>IF(A304="","",A304&amp;"|"&amp;B304)</x:f>
      </x:c>
      <x:c r="AK304" s="9" t="str">
        <x:f>IF(A304="",IF(B304="","","MISSING_TEST_ID"),IF(B304="","MISSING_RUN_ID",IF(COUNTIFS($A$2:$A$501,A304,$B$2:$B$501,B304)&lt;&gt;1,"DUPLICATE_ID","OK")))</x:f>
      </x:c>
      <x:c r="AL304" s="9" t="str">
        <x:f>IF(A304="","",IF(AND(AK304="OK",J304="READY",F304&lt;&gt;"",G304&lt;&gt;"",K304&lt;&gt;"",OR(L304="PASS",L304="FAIL"),M304&lt;&gt;"",P304="social-publication-v2"),"YES","NO"))</x:f>
      </x:c>
      <x:c r="AM304" s="9" t="str">
        <x:f>IF(A304="","",IF(AND(AK304="OK",J304="READY",F304&lt;&gt;"",G304&lt;&gt;"",K304&lt;&gt;"",S304="OK",OR(R304="PASS",R304="FAIL")),"YES","NO"))</x:f>
      </x:c>
      <x:c r="AN304" s="9" t="str">
        <x:f>IF(A304="","",F304&amp;" | "&amp;G304&amp;" | "&amp;H304&amp;" | "&amp;I304)</x:f>
      </x:c>
    </x:row>
    <x:row r="305" ht="33" customHeight="1">
      <x:c r="A305" s="3"/>
      <x:c r="B305" s="3"/>
      <x:c r="C305" s="3"/>
      <x:c r="D305" s="3"/>
      <x:c r="E305" s="3"/>
      <x:c r="F305" s="3"/>
      <x:c r="G305" s="3"/>
      <x:c r="H305" s="3"/>
      <x:c r="I305" s="3"/>
      <x:c r="J305" s="3"/>
      <x:c r="K305" s="3"/>
      <x:c r="L305" s="6"/>
      <x:c r="M305" s="6"/>
      <x:c r="N305" s="6"/>
      <x:c r="O305" s="6"/>
      <x:c r="P305" s="6"/>
      <x:c r="Q305" s="7"/>
      <x:c r="R305" s="7"/>
      <x:c r="S305" s="7"/>
      <x:c r="T305" s="7"/>
      <x:c r="U305" s="7"/>
      <x:c r="V305" s="7"/>
      <x:c r="W305" s="7"/>
      <x:c r="X305" s="7"/>
      <x:c r="Y305" s="7"/>
      <x:c r="Z305" s="7"/>
      <x:c r="AA305" s="7"/>
      <x:c r="AB305" s="7"/>
      <x:c r="AC305" s="7"/>
      <x:c r="AD305" s="7"/>
      <x:c r="AE305" s="3"/>
      <x:c r="AF305" s="3"/>
      <x:c r="AG305" s="3"/>
      <x:c r="AH305" s="3"/>
      <x:c r="AI305" s="3"/>
      <x:c r="AJ305" s="9" t="str">
        <x:f>IF(A305="","",A305&amp;"|"&amp;B305)</x:f>
      </x:c>
      <x:c r="AK305" s="9" t="str">
        <x:f>IF(A305="",IF(B305="","","MISSING_TEST_ID"),IF(B305="","MISSING_RUN_ID",IF(COUNTIFS($A$2:$A$501,A305,$B$2:$B$501,B305)&lt;&gt;1,"DUPLICATE_ID","OK")))</x:f>
      </x:c>
      <x:c r="AL305" s="9" t="str">
        <x:f>IF(A305="","",IF(AND(AK305="OK",J305="READY",F305&lt;&gt;"",G305&lt;&gt;"",K305&lt;&gt;"",OR(L305="PASS",L305="FAIL"),M305&lt;&gt;"",P305="social-publication-v2"),"YES","NO"))</x:f>
      </x:c>
      <x:c r="AM305" s="9" t="str">
        <x:f>IF(A305="","",IF(AND(AK305="OK",J305="READY",F305&lt;&gt;"",G305&lt;&gt;"",K305&lt;&gt;"",S305="OK",OR(R305="PASS",R305="FAIL")),"YES","NO"))</x:f>
      </x:c>
      <x:c r="AN305" s="9" t="str">
        <x:f>IF(A305="","",F305&amp;" | "&amp;G305&amp;" | "&amp;H305&amp;" | "&amp;I305)</x:f>
      </x:c>
    </x:row>
    <x:row r="306" ht="33" customHeight="1">
      <x:c r="A306" s="3"/>
      <x:c r="B306" s="3"/>
      <x:c r="C306" s="3"/>
      <x:c r="D306" s="3"/>
      <x:c r="E306" s="3"/>
      <x:c r="F306" s="3"/>
      <x:c r="G306" s="3"/>
      <x:c r="H306" s="3"/>
      <x:c r="I306" s="3"/>
      <x:c r="J306" s="3"/>
      <x:c r="K306" s="3"/>
      <x:c r="L306" s="6"/>
      <x:c r="M306" s="6"/>
      <x:c r="N306" s="6"/>
      <x:c r="O306" s="6"/>
      <x:c r="P306" s="6"/>
      <x:c r="Q306" s="7"/>
      <x:c r="R306" s="7"/>
      <x:c r="S306" s="7"/>
      <x:c r="T306" s="7"/>
      <x:c r="U306" s="7"/>
      <x:c r="V306" s="7"/>
      <x:c r="W306" s="7"/>
      <x:c r="X306" s="7"/>
      <x:c r="Y306" s="7"/>
      <x:c r="Z306" s="7"/>
      <x:c r="AA306" s="7"/>
      <x:c r="AB306" s="7"/>
      <x:c r="AC306" s="7"/>
      <x:c r="AD306" s="7"/>
      <x:c r="AE306" s="3"/>
      <x:c r="AF306" s="3"/>
      <x:c r="AG306" s="3"/>
      <x:c r="AH306" s="3"/>
      <x:c r="AI306" s="3"/>
      <x:c r="AJ306" s="9" t="str">
        <x:f>IF(A306="","",A306&amp;"|"&amp;B306)</x:f>
      </x:c>
      <x:c r="AK306" s="9" t="str">
        <x:f>IF(A306="",IF(B306="","","MISSING_TEST_ID"),IF(B306="","MISSING_RUN_ID",IF(COUNTIFS($A$2:$A$501,A306,$B$2:$B$501,B306)&lt;&gt;1,"DUPLICATE_ID","OK")))</x:f>
      </x:c>
      <x:c r="AL306" s="9" t="str">
        <x:f>IF(A306="","",IF(AND(AK306="OK",J306="READY",F306&lt;&gt;"",G306&lt;&gt;"",K306&lt;&gt;"",OR(L306="PASS",L306="FAIL"),M306&lt;&gt;"",P306="social-publication-v2"),"YES","NO"))</x:f>
      </x:c>
      <x:c r="AM306" s="9" t="str">
        <x:f>IF(A306="","",IF(AND(AK306="OK",J306="READY",F306&lt;&gt;"",G306&lt;&gt;"",K306&lt;&gt;"",S306="OK",OR(R306="PASS",R306="FAIL")),"YES","NO"))</x:f>
      </x:c>
      <x:c r="AN306" s="9" t="str">
        <x:f>IF(A306="","",F306&amp;" | "&amp;G306&amp;" | "&amp;H306&amp;" | "&amp;I306)</x:f>
      </x:c>
    </x:row>
    <x:row r="307" ht="33" customHeight="1">
      <x:c r="A307" s="3"/>
      <x:c r="B307" s="3"/>
      <x:c r="C307" s="3"/>
      <x:c r="D307" s="3"/>
      <x:c r="E307" s="3"/>
      <x:c r="F307" s="3"/>
      <x:c r="G307" s="3"/>
      <x:c r="H307" s="3"/>
      <x:c r="I307" s="3"/>
      <x:c r="J307" s="3"/>
      <x:c r="K307" s="3"/>
      <x:c r="L307" s="6"/>
      <x:c r="M307" s="6"/>
      <x:c r="N307" s="6"/>
      <x:c r="O307" s="6"/>
      <x:c r="P307" s="6"/>
      <x:c r="Q307" s="7"/>
      <x:c r="R307" s="7"/>
      <x:c r="S307" s="7"/>
      <x:c r="T307" s="7"/>
      <x:c r="U307" s="7"/>
      <x:c r="V307" s="7"/>
      <x:c r="W307" s="7"/>
      <x:c r="X307" s="7"/>
      <x:c r="Y307" s="7"/>
      <x:c r="Z307" s="7"/>
      <x:c r="AA307" s="7"/>
      <x:c r="AB307" s="7"/>
      <x:c r="AC307" s="7"/>
      <x:c r="AD307" s="7"/>
      <x:c r="AE307" s="3"/>
      <x:c r="AF307" s="3"/>
      <x:c r="AG307" s="3"/>
      <x:c r="AH307" s="3"/>
      <x:c r="AI307" s="3"/>
      <x:c r="AJ307" s="9" t="str">
        <x:f>IF(A307="","",A307&amp;"|"&amp;B307)</x:f>
      </x:c>
      <x:c r="AK307" s="9" t="str">
        <x:f>IF(A307="",IF(B307="","","MISSING_TEST_ID"),IF(B307="","MISSING_RUN_ID",IF(COUNTIFS($A$2:$A$501,A307,$B$2:$B$501,B307)&lt;&gt;1,"DUPLICATE_ID","OK")))</x:f>
      </x:c>
      <x:c r="AL307" s="9" t="str">
        <x:f>IF(A307="","",IF(AND(AK307="OK",J307="READY",F307&lt;&gt;"",G307&lt;&gt;"",K307&lt;&gt;"",OR(L307="PASS",L307="FAIL"),M307&lt;&gt;"",P307="social-publication-v2"),"YES","NO"))</x:f>
      </x:c>
      <x:c r="AM307" s="9" t="str">
        <x:f>IF(A307="","",IF(AND(AK307="OK",J307="READY",F307&lt;&gt;"",G307&lt;&gt;"",K307&lt;&gt;"",S307="OK",OR(R307="PASS",R307="FAIL")),"YES","NO"))</x:f>
      </x:c>
      <x:c r="AN307" s="9" t="str">
        <x:f>IF(A307="","",F307&amp;" | "&amp;G307&amp;" | "&amp;H307&amp;" | "&amp;I307)</x:f>
      </x:c>
    </x:row>
    <x:row r="308" ht="33" customHeight="1">
      <x:c r="A308" s="3"/>
      <x:c r="B308" s="3"/>
      <x:c r="C308" s="3"/>
      <x:c r="D308" s="3"/>
      <x:c r="E308" s="3"/>
      <x:c r="F308" s="3"/>
      <x:c r="G308" s="3"/>
      <x:c r="H308" s="3"/>
      <x:c r="I308" s="3"/>
      <x:c r="J308" s="3"/>
      <x:c r="K308" s="3"/>
      <x:c r="L308" s="6"/>
      <x:c r="M308" s="6"/>
      <x:c r="N308" s="6"/>
      <x:c r="O308" s="6"/>
      <x:c r="P308" s="6"/>
      <x:c r="Q308" s="7"/>
      <x:c r="R308" s="7"/>
      <x:c r="S308" s="7"/>
      <x:c r="T308" s="7"/>
      <x:c r="U308" s="7"/>
      <x:c r="V308" s="7"/>
      <x:c r="W308" s="7"/>
      <x:c r="X308" s="7"/>
      <x:c r="Y308" s="7"/>
      <x:c r="Z308" s="7"/>
      <x:c r="AA308" s="7"/>
      <x:c r="AB308" s="7"/>
      <x:c r="AC308" s="7"/>
      <x:c r="AD308" s="7"/>
      <x:c r="AE308" s="3"/>
      <x:c r="AF308" s="3"/>
      <x:c r="AG308" s="3"/>
      <x:c r="AH308" s="3"/>
      <x:c r="AI308" s="3"/>
      <x:c r="AJ308" s="9" t="str">
        <x:f>IF(A308="","",A308&amp;"|"&amp;B308)</x:f>
      </x:c>
      <x:c r="AK308" s="9" t="str">
        <x:f>IF(A308="",IF(B308="","","MISSING_TEST_ID"),IF(B308="","MISSING_RUN_ID",IF(COUNTIFS($A$2:$A$501,A308,$B$2:$B$501,B308)&lt;&gt;1,"DUPLICATE_ID","OK")))</x:f>
      </x:c>
      <x:c r="AL308" s="9" t="str">
        <x:f>IF(A308="","",IF(AND(AK308="OK",J308="READY",F308&lt;&gt;"",G308&lt;&gt;"",K308&lt;&gt;"",OR(L308="PASS",L308="FAIL"),M308&lt;&gt;"",P308="social-publication-v2"),"YES","NO"))</x:f>
      </x:c>
      <x:c r="AM308" s="9" t="str">
        <x:f>IF(A308="","",IF(AND(AK308="OK",J308="READY",F308&lt;&gt;"",G308&lt;&gt;"",K308&lt;&gt;"",S308="OK",OR(R308="PASS",R308="FAIL")),"YES","NO"))</x:f>
      </x:c>
      <x:c r="AN308" s="9" t="str">
        <x:f>IF(A308="","",F308&amp;" | "&amp;G308&amp;" | "&amp;H308&amp;" | "&amp;I308)</x:f>
      </x:c>
    </x:row>
    <x:row r="309" ht="33" customHeight="1">
      <x:c r="A309" s="3"/>
      <x:c r="B309" s="3"/>
      <x:c r="C309" s="3"/>
      <x:c r="D309" s="3"/>
      <x:c r="E309" s="3"/>
      <x:c r="F309" s="3"/>
      <x:c r="G309" s="3"/>
      <x:c r="H309" s="3"/>
      <x:c r="I309" s="3"/>
      <x:c r="J309" s="3"/>
      <x:c r="K309" s="3"/>
      <x:c r="L309" s="6"/>
      <x:c r="M309" s="6"/>
      <x:c r="N309" s="6"/>
      <x:c r="O309" s="6"/>
      <x:c r="P309" s="6"/>
      <x:c r="Q309" s="7"/>
      <x:c r="R309" s="7"/>
      <x:c r="S309" s="7"/>
      <x:c r="T309" s="7"/>
      <x:c r="U309" s="7"/>
      <x:c r="V309" s="7"/>
      <x:c r="W309" s="7"/>
      <x:c r="X309" s="7"/>
      <x:c r="Y309" s="7"/>
      <x:c r="Z309" s="7"/>
      <x:c r="AA309" s="7"/>
      <x:c r="AB309" s="7"/>
      <x:c r="AC309" s="7"/>
      <x:c r="AD309" s="7"/>
      <x:c r="AE309" s="3"/>
      <x:c r="AF309" s="3"/>
      <x:c r="AG309" s="3"/>
      <x:c r="AH309" s="3"/>
      <x:c r="AI309" s="3"/>
      <x:c r="AJ309" s="9" t="str">
        <x:f>IF(A309="","",A309&amp;"|"&amp;B309)</x:f>
      </x:c>
      <x:c r="AK309" s="9" t="str">
        <x:f>IF(A309="",IF(B309="","","MISSING_TEST_ID"),IF(B309="","MISSING_RUN_ID",IF(COUNTIFS($A$2:$A$501,A309,$B$2:$B$501,B309)&lt;&gt;1,"DUPLICATE_ID","OK")))</x:f>
      </x:c>
      <x:c r="AL309" s="9" t="str">
        <x:f>IF(A309="","",IF(AND(AK309="OK",J309="READY",F309&lt;&gt;"",G309&lt;&gt;"",K309&lt;&gt;"",OR(L309="PASS",L309="FAIL"),M309&lt;&gt;"",P309="social-publication-v2"),"YES","NO"))</x:f>
      </x:c>
      <x:c r="AM309" s="9" t="str">
        <x:f>IF(A309="","",IF(AND(AK309="OK",J309="READY",F309&lt;&gt;"",G309&lt;&gt;"",K309&lt;&gt;"",S309="OK",OR(R309="PASS",R309="FAIL")),"YES","NO"))</x:f>
      </x:c>
      <x:c r="AN309" s="9" t="str">
        <x:f>IF(A309="","",F309&amp;" | "&amp;G309&amp;" | "&amp;H309&amp;" | "&amp;I309)</x:f>
      </x:c>
    </x:row>
    <x:row r="310" ht="33" customHeight="1">
      <x:c r="A310" s="3"/>
      <x:c r="B310" s="3"/>
      <x:c r="C310" s="3"/>
      <x:c r="D310" s="3"/>
      <x:c r="E310" s="3"/>
      <x:c r="F310" s="3"/>
      <x:c r="G310" s="3"/>
      <x:c r="H310" s="3"/>
      <x:c r="I310" s="3"/>
      <x:c r="J310" s="3"/>
      <x:c r="K310" s="3"/>
      <x:c r="L310" s="6"/>
      <x:c r="M310" s="6"/>
      <x:c r="N310" s="6"/>
      <x:c r="O310" s="6"/>
      <x:c r="P310" s="6"/>
      <x:c r="Q310" s="7"/>
      <x:c r="R310" s="7"/>
      <x:c r="S310" s="7"/>
      <x:c r="T310" s="7"/>
      <x:c r="U310" s="7"/>
      <x:c r="V310" s="7"/>
      <x:c r="W310" s="7"/>
      <x:c r="X310" s="7"/>
      <x:c r="Y310" s="7"/>
      <x:c r="Z310" s="7"/>
      <x:c r="AA310" s="7"/>
      <x:c r="AB310" s="7"/>
      <x:c r="AC310" s="7"/>
      <x:c r="AD310" s="7"/>
      <x:c r="AE310" s="3"/>
      <x:c r="AF310" s="3"/>
      <x:c r="AG310" s="3"/>
      <x:c r="AH310" s="3"/>
      <x:c r="AI310" s="3"/>
      <x:c r="AJ310" s="9" t="str">
        <x:f>IF(A310="","",A310&amp;"|"&amp;B310)</x:f>
      </x:c>
      <x:c r="AK310" s="9" t="str">
        <x:f>IF(A310="",IF(B310="","","MISSING_TEST_ID"),IF(B310="","MISSING_RUN_ID",IF(COUNTIFS($A$2:$A$501,A310,$B$2:$B$501,B310)&lt;&gt;1,"DUPLICATE_ID","OK")))</x:f>
      </x:c>
      <x:c r="AL310" s="9" t="str">
        <x:f>IF(A310="","",IF(AND(AK310="OK",J310="READY",F310&lt;&gt;"",G310&lt;&gt;"",K310&lt;&gt;"",OR(L310="PASS",L310="FAIL"),M310&lt;&gt;"",P310="social-publication-v2"),"YES","NO"))</x:f>
      </x:c>
      <x:c r="AM310" s="9" t="str">
        <x:f>IF(A310="","",IF(AND(AK310="OK",J310="READY",F310&lt;&gt;"",G310&lt;&gt;"",K310&lt;&gt;"",S310="OK",OR(R310="PASS",R310="FAIL")),"YES","NO"))</x:f>
      </x:c>
      <x:c r="AN310" s="9" t="str">
        <x:f>IF(A310="","",F310&amp;" | "&amp;G310&amp;" | "&amp;H310&amp;" | "&amp;I310)</x:f>
      </x:c>
    </x:row>
    <x:row r="311" ht="33" customHeight="1">
      <x:c r="A311" s="3"/>
      <x:c r="B311" s="3"/>
      <x:c r="C311" s="3"/>
      <x:c r="D311" s="3"/>
      <x:c r="E311" s="3"/>
      <x:c r="F311" s="3"/>
      <x:c r="G311" s="3"/>
      <x:c r="H311" s="3"/>
      <x:c r="I311" s="3"/>
      <x:c r="J311" s="3"/>
      <x:c r="K311" s="3"/>
      <x:c r="L311" s="6"/>
      <x:c r="M311" s="6"/>
      <x:c r="N311" s="6"/>
      <x:c r="O311" s="6"/>
      <x:c r="P311" s="6"/>
      <x:c r="Q311" s="7"/>
      <x:c r="R311" s="7"/>
      <x:c r="S311" s="7"/>
      <x:c r="T311" s="7"/>
      <x:c r="U311" s="7"/>
      <x:c r="V311" s="7"/>
      <x:c r="W311" s="7"/>
      <x:c r="X311" s="7"/>
      <x:c r="Y311" s="7"/>
      <x:c r="Z311" s="7"/>
      <x:c r="AA311" s="7"/>
      <x:c r="AB311" s="7"/>
      <x:c r="AC311" s="7"/>
      <x:c r="AD311" s="7"/>
      <x:c r="AE311" s="3"/>
      <x:c r="AF311" s="3"/>
      <x:c r="AG311" s="3"/>
      <x:c r="AH311" s="3"/>
      <x:c r="AI311" s="3"/>
      <x:c r="AJ311" s="9" t="str">
        <x:f>IF(A311="","",A311&amp;"|"&amp;B311)</x:f>
      </x:c>
      <x:c r="AK311" s="9" t="str">
        <x:f>IF(A311="",IF(B311="","","MISSING_TEST_ID"),IF(B311="","MISSING_RUN_ID",IF(COUNTIFS($A$2:$A$501,A311,$B$2:$B$501,B311)&lt;&gt;1,"DUPLICATE_ID","OK")))</x:f>
      </x:c>
      <x:c r="AL311" s="9" t="str">
        <x:f>IF(A311="","",IF(AND(AK311="OK",J311="READY",F311&lt;&gt;"",G311&lt;&gt;"",K311&lt;&gt;"",OR(L311="PASS",L311="FAIL"),M311&lt;&gt;"",P311="social-publication-v2"),"YES","NO"))</x:f>
      </x:c>
      <x:c r="AM311" s="9" t="str">
        <x:f>IF(A311="","",IF(AND(AK311="OK",J311="READY",F311&lt;&gt;"",G311&lt;&gt;"",K311&lt;&gt;"",S311="OK",OR(R311="PASS",R311="FAIL")),"YES","NO"))</x:f>
      </x:c>
      <x:c r="AN311" s="9" t="str">
        <x:f>IF(A311="","",F311&amp;" | "&amp;G311&amp;" | "&amp;H311&amp;" | "&amp;I311)</x:f>
      </x:c>
    </x:row>
    <x:row r="312" ht="33" customHeight="1">
      <x:c r="A312" s="3"/>
      <x:c r="B312" s="3"/>
      <x:c r="C312" s="3"/>
      <x:c r="D312" s="3"/>
      <x:c r="E312" s="3"/>
      <x:c r="F312" s="3"/>
      <x:c r="G312" s="3"/>
      <x:c r="H312" s="3"/>
      <x:c r="I312" s="3"/>
      <x:c r="J312" s="3"/>
      <x:c r="K312" s="3"/>
      <x:c r="L312" s="6"/>
      <x:c r="M312" s="6"/>
      <x:c r="N312" s="6"/>
      <x:c r="O312" s="6"/>
      <x:c r="P312" s="6"/>
      <x:c r="Q312" s="7"/>
      <x:c r="R312" s="7"/>
      <x:c r="S312" s="7"/>
      <x:c r="T312" s="7"/>
      <x:c r="U312" s="7"/>
      <x:c r="V312" s="7"/>
      <x:c r="W312" s="7"/>
      <x:c r="X312" s="7"/>
      <x:c r="Y312" s="7"/>
      <x:c r="Z312" s="7"/>
      <x:c r="AA312" s="7"/>
      <x:c r="AB312" s="7"/>
      <x:c r="AC312" s="7"/>
      <x:c r="AD312" s="7"/>
      <x:c r="AE312" s="3"/>
      <x:c r="AF312" s="3"/>
      <x:c r="AG312" s="3"/>
      <x:c r="AH312" s="3"/>
      <x:c r="AI312" s="3"/>
      <x:c r="AJ312" s="9" t="str">
        <x:f>IF(A312="","",A312&amp;"|"&amp;B312)</x:f>
      </x:c>
      <x:c r="AK312" s="9" t="str">
        <x:f>IF(A312="",IF(B312="","","MISSING_TEST_ID"),IF(B312="","MISSING_RUN_ID",IF(COUNTIFS($A$2:$A$501,A312,$B$2:$B$501,B312)&lt;&gt;1,"DUPLICATE_ID","OK")))</x:f>
      </x:c>
      <x:c r="AL312" s="9" t="str">
        <x:f>IF(A312="","",IF(AND(AK312="OK",J312="READY",F312&lt;&gt;"",G312&lt;&gt;"",K312&lt;&gt;"",OR(L312="PASS",L312="FAIL"),M312&lt;&gt;"",P312="social-publication-v2"),"YES","NO"))</x:f>
      </x:c>
      <x:c r="AM312" s="9" t="str">
        <x:f>IF(A312="","",IF(AND(AK312="OK",J312="READY",F312&lt;&gt;"",G312&lt;&gt;"",K312&lt;&gt;"",S312="OK",OR(R312="PASS",R312="FAIL")),"YES","NO"))</x:f>
      </x:c>
      <x:c r="AN312" s="9" t="str">
        <x:f>IF(A312="","",F312&amp;" | "&amp;G312&amp;" | "&amp;H312&amp;" | "&amp;I312)</x:f>
      </x:c>
    </x:row>
    <x:row r="313" ht="33" customHeight="1">
      <x:c r="A313" s="3"/>
      <x:c r="B313" s="3"/>
      <x:c r="C313" s="3"/>
      <x:c r="D313" s="3"/>
      <x:c r="E313" s="3"/>
      <x:c r="F313" s="3"/>
      <x:c r="G313" s="3"/>
      <x:c r="H313" s="3"/>
      <x:c r="I313" s="3"/>
      <x:c r="J313" s="3"/>
      <x:c r="K313" s="3"/>
      <x:c r="L313" s="6"/>
      <x:c r="M313" s="6"/>
      <x:c r="N313" s="6"/>
      <x:c r="O313" s="6"/>
      <x:c r="P313" s="6"/>
      <x:c r="Q313" s="7"/>
      <x:c r="R313" s="7"/>
      <x:c r="S313" s="7"/>
      <x:c r="T313" s="7"/>
      <x:c r="U313" s="7"/>
      <x:c r="V313" s="7"/>
      <x:c r="W313" s="7"/>
      <x:c r="X313" s="7"/>
      <x:c r="Y313" s="7"/>
      <x:c r="Z313" s="7"/>
      <x:c r="AA313" s="7"/>
      <x:c r="AB313" s="7"/>
      <x:c r="AC313" s="7"/>
      <x:c r="AD313" s="7"/>
      <x:c r="AE313" s="3"/>
      <x:c r="AF313" s="3"/>
      <x:c r="AG313" s="3"/>
      <x:c r="AH313" s="3"/>
      <x:c r="AI313" s="3"/>
      <x:c r="AJ313" s="9" t="str">
        <x:f>IF(A313="","",A313&amp;"|"&amp;B313)</x:f>
      </x:c>
      <x:c r="AK313" s="9" t="str">
        <x:f>IF(A313="",IF(B313="","","MISSING_TEST_ID"),IF(B313="","MISSING_RUN_ID",IF(COUNTIFS($A$2:$A$501,A313,$B$2:$B$501,B313)&lt;&gt;1,"DUPLICATE_ID","OK")))</x:f>
      </x:c>
      <x:c r="AL313" s="9" t="str">
        <x:f>IF(A313="","",IF(AND(AK313="OK",J313="READY",F313&lt;&gt;"",G313&lt;&gt;"",K313&lt;&gt;"",OR(L313="PASS",L313="FAIL"),M313&lt;&gt;"",P313="social-publication-v2"),"YES","NO"))</x:f>
      </x:c>
      <x:c r="AM313" s="9" t="str">
        <x:f>IF(A313="","",IF(AND(AK313="OK",J313="READY",F313&lt;&gt;"",G313&lt;&gt;"",K313&lt;&gt;"",S313="OK",OR(R313="PASS",R313="FAIL")),"YES","NO"))</x:f>
      </x:c>
      <x:c r="AN313" s="9" t="str">
        <x:f>IF(A313="","",F313&amp;" | "&amp;G313&amp;" | "&amp;H313&amp;" | "&amp;I313)</x:f>
      </x:c>
    </x:row>
    <x:row r="314" ht="33" customHeight="1">
      <x:c r="A314" s="3"/>
      <x:c r="B314" s="3"/>
      <x:c r="C314" s="3"/>
      <x:c r="D314" s="3"/>
      <x:c r="E314" s="3"/>
      <x:c r="F314" s="3"/>
      <x:c r="G314" s="3"/>
      <x:c r="H314" s="3"/>
      <x:c r="I314" s="3"/>
      <x:c r="J314" s="3"/>
      <x:c r="K314" s="3"/>
      <x:c r="L314" s="6"/>
      <x:c r="M314" s="6"/>
      <x:c r="N314" s="6"/>
      <x:c r="O314" s="6"/>
      <x:c r="P314" s="6"/>
      <x:c r="Q314" s="7"/>
      <x:c r="R314" s="7"/>
      <x:c r="S314" s="7"/>
      <x:c r="T314" s="7"/>
      <x:c r="U314" s="7"/>
      <x:c r="V314" s="7"/>
      <x:c r="W314" s="7"/>
      <x:c r="X314" s="7"/>
      <x:c r="Y314" s="7"/>
      <x:c r="Z314" s="7"/>
      <x:c r="AA314" s="7"/>
      <x:c r="AB314" s="7"/>
      <x:c r="AC314" s="7"/>
      <x:c r="AD314" s="7"/>
      <x:c r="AE314" s="3"/>
      <x:c r="AF314" s="3"/>
      <x:c r="AG314" s="3"/>
      <x:c r="AH314" s="3"/>
      <x:c r="AI314" s="3"/>
      <x:c r="AJ314" s="9" t="str">
        <x:f>IF(A314="","",A314&amp;"|"&amp;B314)</x:f>
      </x:c>
      <x:c r="AK314" s="9" t="str">
        <x:f>IF(A314="",IF(B314="","","MISSING_TEST_ID"),IF(B314="","MISSING_RUN_ID",IF(COUNTIFS($A$2:$A$501,A314,$B$2:$B$501,B314)&lt;&gt;1,"DUPLICATE_ID","OK")))</x:f>
      </x:c>
      <x:c r="AL314" s="9" t="str">
        <x:f>IF(A314="","",IF(AND(AK314="OK",J314="READY",F314&lt;&gt;"",G314&lt;&gt;"",K314&lt;&gt;"",OR(L314="PASS",L314="FAIL"),M314&lt;&gt;"",P314="social-publication-v2"),"YES","NO"))</x:f>
      </x:c>
      <x:c r="AM314" s="9" t="str">
        <x:f>IF(A314="","",IF(AND(AK314="OK",J314="READY",F314&lt;&gt;"",G314&lt;&gt;"",K314&lt;&gt;"",S314="OK",OR(R314="PASS",R314="FAIL")),"YES","NO"))</x:f>
      </x:c>
      <x:c r="AN314" s="9" t="str">
        <x:f>IF(A314="","",F314&amp;" | "&amp;G314&amp;" | "&amp;H314&amp;" | "&amp;I314)</x:f>
      </x:c>
    </x:row>
    <x:row r="315" ht="33" customHeight="1">
      <x:c r="A315" s="3"/>
      <x:c r="B315" s="3"/>
      <x:c r="C315" s="3"/>
      <x:c r="D315" s="3"/>
      <x:c r="E315" s="3"/>
      <x:c r="F315" s="3"/>
      <x:c r="G315" s="3"/>
      <x:c r="H315" s="3"/>
      <x:c r="I315" s="3"/>
      <x:c r="J315" s="3"/>
      <x:c r="K315" s="3"/>
      <x:c r="L315" s="6"/>
      <x:c r="M315" s="6"/>
      <x:c r="N315" s="6"/>
      <x:c r="O315" s="6"/>
      <x:c r="P315" s="6"/>
      <x:c r="Q315" s="7"/>
      <x:c r="R315" s="7"/>
      <x:c r="S315" s="7"/>
      <x:c r="T315" s="7"/>
      <x:c r="U315" s="7"/>
      <x:c r="V315" s="7"/>
      <x:c r="W315" s="7"/>
      <x:c r="X315" s="7"/>
      <x:c r="Y315" s="7"/>
      <x:c r="Z315" s="7"/>
      <x:c r="AA315" s="7"/>
      <x:c r="AB315" s="7"/>
      <x:c r="AC315" s="7"/>
      <x:c r="AD315" s="7"/>
      <x:c r="AE315" s="3"/>
      <x:c r="AF315" s="3"/>
      <x:c r="AG315" s="3"/>
      <x:c r="AH315" s="3"/>
      <x:c r="AI315" s="3"/>
      <x:c r="AJ315" s="9" t="str">
        <x:f>IF(A315="","",A315&amp;"|"&amp;B315)</x:f>
      </x:c>
      <x:c r="AK315" s="9" t="str">
        <x:f>IF(A315="",IF(B315="","","MISSING_TEST_ID"),IF(B315="","MISSING_RUN_ID",IF(COUNTIFS($A$2:$A$501,A315,$B$2:$B$501,B315)&lt;&gt;1,"DUPLICATE_ID","OK")))</x:f>
      </x:c>
      <x:c r="AL315" s="9" t="str">
        <x:f>IF(A315="","",IF(AND(AK315="OK",J315="READY",F315&lt;&gt;"",G315&lt;&gt;"",K315&lt;&gt;"",OR(L315="PASS",L315="FAIL"),M315&lt;&gt;"",P315="social-publication-v2"),"YES","NO"))</x:f>
      </x:c>
      <x:c r="AM315" s="9" t="str">
        <x:f>IF(A315="","",IF(AND(AK315="OK",J315="READY",F315&lt;&gt;"",G315&lt;&gt;"",K315&lt;&gt;"",S315="OK",OR(R315="PASS",R315="FAIL")),"YES","NO"))</x:f>
      </x:c>
      <x:c r="AN315" s="9" t="str">
        <x:f>IF(A315="","",F315&amp;" | "&amp;G315&amp;" | "&amp;H315&amp;" | "&amp;I315)</x:f>
      </x:c>
    </x:row>
    <x:row r="316" ht="33" customHeight="1">
      <x:c r="A316" s="3"/>
      <x:c r="B316" s="3"/>
      <x:c r="C316" s="3"/>
      <x:c r="D316" s="3"/>
      <x:c r="E316" s="3"/>
      <x:c r="F316" s="3"/>
      <x:c r="G316" s="3"/>
      <x:c r="H316" s="3"/>
      <x:c r="I316" s="3"/>
      <x:c r="J316" s="3"/>
      <x:c r="K316" s="3"/>
      <x:c r="L316" s="6"/>
      <x:c r="M316" s="6"/>
      <x:c r="N316" s="6"/>
      <x:c r="O316" s="6"/>
      <x:c r="P316" s="6"/>
      <x:c r="Q316" s="7"/>
      <x:c r="R316" s="7"/>
      <x:c r="S316" s="7"/>
      <x:c r="T316" s="7"/>
      <x:c r="U316" s="7"/>
      <x:c r="V316" s="7"/>
      <x:c r="W316" s="7"/>
      <x:c r="X316" s="7"/>
      <x:c r="Y316" s="7"/>
      <x:c r="Z316" s="7"/>
      <x:c r="AA316" s="7"/>
      <x:c r="AB316" s="7"/>
      <x:c r="AC316" s="7"/>
      <x:c r="AD316" s="7"/>
      <x:c r="AE316" s="3"/>
      <x:c r="AF316" s="3"/>
      <x:c r="AG316" s="3"/>
      <x:c r="AH316" s="3"/>
      <x:c r="AI316" s="3"/>
      <x:c r="AJ316" s="9" t="str">
        <x:f>IF(A316="","",A316&amp;"|"&amp;B316)</x:f>
      </x:c>
      <x:c r="AK316" s="9" t="str">
        <x:f>IF(A316="",IF(B316="","","MISSING_TEST_ID"),IF(B316="","MISSING_RUN_ID",IF(COUNTIFS($A$2:$A$501,A316,$B$2:$B$501,B316)&lt;&gt;1,"DUPLICATE_ID","OK")))</x:f>
      </x:c>
      <x:c r="AL316" s="9" t="str">
        <x:f>IF(A316="","",IF(AND(AK316="OK",J316="READY",F316&lt;&gt;"",G316&lt;&gt;"",K316&lt;&gt;"",OR(L316="PASS",L316="FAIL"),M316&lt;&gt;"",P316="social-publication-v2"),"YES","NO"))</x:f>
      </x:c>
      <x:c r="AM316" s="9" t="str">
        <x:f>IF(A316="","",IF(AND(AK316="OK",J316="READY",F316&lt;&gt;"",G316&lt;&gt;"",K316&lt;&gt;"",S316="OK",OR(R316="PASS",R316="FAIL")),"YES","NO"))</x:f>
      </x:c>
      <x:c r="AN316" s="9" t="str">
        <x:f>IF(A316="","",F316&amp;" | "&amp;G316&amp;" | "&amp;H316&amp;" | "&amp;I316)</x:f>
      </x:c>
    </x:row>
    <x:row r="317" ht="33" customHeight="1">
      <x:c r="A317" s="3"/>
      <x:c r="B317" s="3"/>
      <x:c r="C317" s="3"/>
      <x:c r="D317" s="3"/>
      <x:c r="E317" s="3"/>
      <x:c r="F317" s="3"/>
      <x:c r="G317" s="3"/>
      <x:c r="H317" s="3"/>
      <x:c r="I317" s="3"/>
      <x:c r="J317" s="3"/>
      <x:c r="K317" s="3"/>
      <x:c r="L317" s="6"/>
      <x:c r="M317" s="6"/>
      <x:c r="N317" s="6"/>
      <x:c r="O317" s="6"/>
      <x:c r="P317" s="6"/>
      <x:c r="Q317" s="7"/>
      <x:c r="R317" s="7"/>
      <x:c r="S317" s="7"/>
      <x:c r="T317" s="7"/>
      <x:c r="U317" s="7"/>
      <x:c r="V317" s="7"/>
      <x:c r="W317" s="7"/>
      <x:c r="X317" s="7"/>
      <x:c r="Y317" s="7"/>
      <x:c r="Z317" s="7"/>
      <x:c r="AA317" s="7"/>
      <x:c r="AB317" s="7"/>
      <x:c r="AC317" s="7"/>
      <x:c r="AD317" s="7"/>
      <x:c r="AE317" s="3"/>
      <x:c r="AF317" s="3"/>
      <x:c r="AG317" s="3"/>
      <x:c r="AH317" s="3"/>
      <x:c r="AI317" s="3"/>
      <x:c r="AJ317" s="9" t="str">
        <x:f>IF(A317="","",A317&amp;"|"&amp;B317)</x:f>
      </x:c>
      <x:c r="AK317" s="9" t="str">
        <x:f>IF(A317="",IF(B317="","","MISSING_TEST_ID"),IF(B317="","MISSING_RUN_ID",IF(COUNTIFS($A$2:$A$501,A317,$B$2:$B$501,B317)&lt;&gt;1,"DUPLICATE_ID","OK")))</x:f>
      </x:c>
      <x:c r="AL317" s="9" t="str">
        <x:f>IF(A317="","",IF(AND(AK317="OK",J317="READY",F317&lt;&gt;"",G317&lt;&gt;"",K317&lt;&gt;"",OR(L317="PASS",L317="FAIL"),M317&lt;&gt;"",P317="social-publication-v2"),"YES","NO"))</x:f>
      </x:c>
      <x:c r="AM317" s="9" t="str">
        <x:f>IF(A317="","",IF(AND(AK317="OK",J317="READY",F317&lt;&gt;"",G317&lt;&gt;"",K317&lt;&gt;"",S317="OK",OR(R317="PASS",R317="FAIL")),"YES","NO"))</x:f>
      </x:c>
      <x:c r="AN317" s="9" t="str">
        <x:f>IF(A317="","",F317&amp;" | "&amp;G317&amp;" | "&amp;H317&amp;" | "&amp;I317)</x:f>
      </x:c>
    </x:row>
    <x:row r="318" ht="33" customHeight="1">
      <x:c r="A318" s="3"/>
      <x:c r="B318" s="3"/>
      <x:c r="C318" s="3"/>
      <x:c r="D318" s="3"/>
      <x:c r="E318" s="3"/>
      <x:c r="F318" s="3"/>
      <x:c r="G318" s="3"/>
      <x:c r="H318" s="3"/>
      <x:c r="I318" s="3"/>
      <x:c r="J318" s="3"/>
      <x:c r="K318" s="3"/>
      <x:c r="L318" s="6"/>
      <x:c r="M318" s="6"/>
      <x:c r="N318" s="6"/>
      <x:c r="O318" s="6"/>
      <x:c r="P318" s="6"/>
      <x:c r="Q318" s="7"/>
      <x:c r="R318" s="7"/>
      <x:c r="S318" s="7"/>
      <x:c r="T318" s="7"/>
      <x:c r="U318" s="7"/>
      <x:c r="V318" s="7"/>
      <x:c r="W318" s="7"/>
      <x:c r="X318" s="7"/>
      <x:c r="Y318" s="7"/>
      <x:c r="Z318" s="7"/>
      <x:c r="AA318" s="7"/>
      <x:c r="AB318" s="7"/>
      <x:c r="AC318" s="7"/>
      <x:c r="AD318" s="7"/>
      <x:c r="AE318" s="3"/>
      <x:c r="AF318" s="3"/>
      <x:c r="AG318" s="3"/>
      <x:c r="AH318" s="3"/>
      <x:c r="AI318" s="3"/>
      <x:c r="AJ318" s="9" t="str">
        <x:f>IF(A318="","",A318&amp;"|"&amp;B318)</x:f>
      </x:c>
      <x:c r="AK318" s="9" t="str">
        <x:f>IF(A318="",IF(B318="","","MISSING_TEST_ID"),IF(B318="","MISSING_RUN_ID",IF(COUNTIFS($A$2:$A$501,A318,$B$2:$B$501,B318)&lt;&gt;1,"DUPLICATE_ID","OK")))</x:f>
      </x:c>
      <x:c r="AL318" s="9" t="str">
        <x:f>IF(A318="","",IF(AND(AK318="OK",J318="READY",F318&lt;&gt;"",G318&lt;&gt;"",K318&lt;&gt;"",OR(L318="PASS",L318="FAIL"),M318&lt;&gt;"",P318="social-publication-v2"),"YES","NO"))</x:f>
      </x:c>
      <x:c r="AM318" s="9" t="str">
        <x:f>IF(A318="","",IF(AND(AK318="OK",J318="READY",F318&lt;&gt;"",G318&lt;&gt;"",K318&lt;&gt;"",S318="OK",OR(R318="PASS",R318="FAIL")),"YES","NO"))</x:f>
      </x:c>
      <x:c r="AN318" s="9" t="str">
        <x:f>IF(A318="","",F318&amp;" | "&amp;G318&amp;" | "&amp;H318&amp;" | "&amp;I318)</x:f>
      </x:c>
    </x:row>
    <x:row r="319" ht="33" customHeight="1">
      <x:c r="A319" s="3"/>
      <x:c r="B319" s="3"/>
      <x:c r="C319" s="3"/>
      <x:c r="D319" s="3"/>
      <x:c r="E319" s="3"/>
      <x:c r="F319" s="3"/>
      <x:c r="G319" s="3"/>
      <x:c r="H319" s="3"/>
      <x:c r="I319" s="3"/>
      <x:c r="J319" s="3"/>
      <x:c r="K319" s="3"/>
      <x:c r="L319" s="6"/>
      <x:c r="M319" s="6"/>
      <x:c r="N319" s="6"/>
      <x:c r="O319" s="6"/>
      <x:c r="P319" s="6"/>
      <x:c r="Q319" s="7"/>
      <x:c r="R319" s="7"/>
      <x:c r="S319" s="7"/>
      <x:c r="T319" s="7"/>
      <x:c r="U319" s="7"/>
      <x:c r="V319" s="7"/>
      <x:c r="W319" s="7"/>
      <x:c r="X319" s="7"/>
      <x:c r="Y319" s="7"/>
      <x:c r="Z319" s="7"/>
      <x:c r="AA319" s="7"/>
      <x:c r="AB319" s="7"/>
      <x:c r="AC319" s="7"/>
      <x:c r="AD319" s="7"/>
      <x:c r="AE319" s="3"/>
      <x:c r="AF319" s="3"/>
      <x:c r="AG319" s="3"/>
      <x:c r="AH319" s="3"/>
      <x:c r="AI319" s="3"/>
      <x:c r="AJ319" s="9" t="str">
        <x:f>IF(A319="","",A319&amp;"|"&amp;B319)</x:f>
      </x:c>
      <x:c r="AK319" s="9" t="str">
        <x:f>IF(A319="",IF(B319="","","MISSING_TEST_ID"),IF(B319="","MISSING_RUN_ID",IF(COUNTIFS($A$2:$A$501,A319,$B$2:$B$501,B319)&lt;&gt;1,"DUPLICATE_ID","OK")))</x:f>
      </x:c>
      <x:c r="AL319" s="9" t="str">
        <x:f>IF(A319="","",IF(AND(AK319="OK",J319="READY",F319&lt;&gt;"",G319&lt;&gt;"",K319&lt;&gt;"",OR(L319="PASS",L319="FAIL"),M319&lt;&gt;"",P319="social-publication-v2"),"YES","NO"))</x:f>
      </x:c>
      <x:c r="AM319" s="9" t="str">
        <x:f>IF(A319="","",IF(AND(AK319="OK",J319="READY",F319&lt;&gt;"",G319&lt;&gt;"",K319&lt;&gt;"",S319="OK",OR(R319="PASS",R319="FAIL")),"YES","NO"))</x:f>
      </x:c>
      <x:c r="AN319" s="9" t="str">
        <x:f>IF(A319="","",F319&amp;" | "&amp;G319&amp;" | "&amp;H319&amp;" | "&amp;I319)</x:f>
      </x:c>
    </x:row>
    <x:row r="320" ht="33" customHeight="1">
      <x:c r="A320" s="3"/>
      <x:c r="B320" s="3"/>
      <x:c r="C320" s="3"/>
      <x:c r="D320" s="3"/>
      <x:c r="E320" s="3"/>
      <x:c r="F320" s="3"/>
      <x:c r="G320" s="3"/>
      <x:c r="H320" s="3"/>
      <x:c r="I320" s="3"/>
      <x:c r="J320" s="3"/>
      <x:c r="K320" s="3"/>
      <x:c r="L320" s="6"/>
      <x:c r="M320" s="6"/>
      <x:c r="N320" s="6"/>
      <x:c r="O320" s="6"/>
      <x:c r="P320" s="6"/>
      <x:c r="Q320" s="7"/>
      <x:c r="R320" s="7"/>
      <x:c r="S320" s="7"/>
      <x:c r="T320" s="7"/>
      <x:c r="U320" s="7"/>
      <x:c r="V320" s="7"/>
      <x:c r="W320" s="7"/>
      <x:c r="X320" s="7"/>
      <x:c r="Y320" s="7"/>
      <x:c r="Z320" s="7"/>
      <x:c r="AA320" s="7"/>
      <x:c r="AB320" s="7"/>
      <x:c r="AC320" s="7"/>
      <x:c r="AD320" s="7"/>
      <x:c r="AE320" s="3"/>
      <x:c r="AF320" s="3"/>
      <x:c r="AG320" s="3"/>
      <x:c r="AH320" s="3"/>
      <x:c r="AI320" s="3"/>
      <x:c r="AJ320" s="9" t="str">
        <x:f>IF(A320="","",A320&amp;"|"&amp;B320)</x:f>
      </x:c>
      <x:c r="AK320" s="9" t="str">
        <x:f>IF(A320="",IF(B320="","","MISSING_TEST_ID"),IF(B320="","MISSING_RUN_ID",IF(COUNTIFS($A$2:$A$501,A320,$B$2:$B$501,B320)&lt;&gt;1,"DUPLICATE_ID","OK")))</x:f>
      </x:c>
      <x:c r="AL320" s="9" t="str">
        <x:f>IF(A320="","",IF(AND(AK320="OK",J320="READY",F320&lt;&gt;"",G320&lt;&gt;"",K320&lt;&gt;"",OR(L320="PASS",L320="FAIL"),M320&lt;&gt;"",P320="social-publication-v2"),"YES","NO"))</x:f>
      </x:c>
      <x:c r="AM320" s="9" t="str">
        <x:f>IF(A320="","",IF(AND(AK320="OK",J320="READY",F320&lt;&gt;"",G320&lt;&gt;"",K320&lt;&gt;"",S320="OK",OR(R320="PASS",R320="FAIL")),"YES","NO"))</x:f>
      </x:c>
      <x:c r="AN320" s="9" t="str">
        <x:f>IF(A320="","",F320&amp;" | "&amp;G320&amp;" | "&amp;H320&amp;" | "&amp;I320)</x:f>
      </x:c>
    </x:row>
    <x:row r="321" ht="33" customHeight="1">
      <x:c r="A321" s="3"/>
      <x:c r="B321" s="3"/>
      <x:c r="C321" s="3"/>
      <x:c r="D321" s="3"/>
      <x:c r="E321" s="3"/>
      <x:c r="F321" s="3"/>
      <x:c r="G321" s="3"/>
      <x:c r="H321" s="3"/>
      <x:c r="I321" s="3"/>
      <x:c r="J321" s="3"/>
      <x:c r="K321" s="3"/>
      <x:c r="L321" s="6"/>
      <x:c r="M321" s="6"/>
      <x:c r="N321" s="6"/>
      <x:c r="O321" s="6"/>
      <x:c r="P321" s="6"/>
      <x:c r="Q321" s="7"/>
      <x:c r="R321" s="7"/>
      <x:c r="S321" s="7"/>
      <x:c r="T321" s="7"/>
      <x:c r="U321" s="7"/>
      <x:c r="V321" s="7"/>
      <x:c r="W321" s="7"/>
      <x:c r="X321" s="7"/>
      <x:c r="Y321" s="7"/>
      <x:c r="Z321" s="7"/>
      <x:c r="AA321" s="7"/>
      <x:c r="AB321" s="7"/>
      <x:c r="AC321" s="7"/>
      <x:c r="AD321" s="7"/>
      <x:c r="AE321" s="3"/>
      <x:c r="AF321" s="3"/>
      <x:c r="AG321" s="3"/>
      <x:c r="AH321" s="3"/>
      <x:c r="AI321" s="3"/>
      <x:c r="AJ321" s="9" t="str">
        <x:f>IF(A321="","",A321&amp;"|"&amp;B321)</x:f>
      </x:c>
      <x:c r="AK321" s="9" t="str">
        <x:f>IF(A321="",IF(B321="","","MISSING_TEST_ID"),IF(B321="","MISSING_RUN_ID",IF(COUNTIFS($A$2:$A$501,A321,$B$2:$B$501,B321)&lt;&gt;1,"DUPLICATE_ID","OK")))</x:f>
      </x:c>
      <x:c r="AL321" s="9" t="str">
        <x:f>IF(A321="","",IF(AND(AK321="OK",J321="READY",F321&lt;&gt;"",G321&lt;&gt;"",K321&lt;&gt;"",OR(L321="PASS",L321="FAIL"),M321&lt;&gt;"",P321="social-publication-v2"),"YES","NO"))</x:f>
      </x:c>
      <x:c r="AM321" s="9" t="str">
        <x:f>IF(A321="","",IF(AND(AK321="OK",J321="READY",F321&lt;&gt;"",G321&lt;&gt;"",K321&lt;&gt;"",S321="OK",OR(R321="PASS",R321="FAIL")),"YES","NO"))</x:f>
      </x:c>
      <x:c r="AN321" s="9" t="str">
        <x:f>IF(A321="","",F321&amp;" | "&amp;G321&amp;" | "&amp;H321&amp;" | "&amp;I321)</x:f>
      </x:c>
    </x:row>
    <x:row r="322" ht="33" customHeight="1">
      <x:c r="A322" s="3"/>
      <x:c r="B322" s="3"/>
      <x:c r="C322" s="3"/>
      <x:c r="D322" s="3"/>
      <x:c r="E322" s="3"/>
      <x:c r="F322" s="3"/>
      <x:c r="G322" s="3"/>
      <x:c r="H322" s="3"/>
      <x:c r="I322" s="3"/>
      <x:c r="J322" s="3"/>
      <x:c r="K322" s="3"/>
      <x:c r="L322" s="6"/>
      <x:c r="M322" s="6"/>
      <x:c r="N322" s="6"/>
      <x:c r="O322" s="6"/>
      <x:c r="P322" s="6"/>
      <x:c r="Q322" s="7"/>
      <x:c r="R322" s="7"/>
      <x:c r="S322" s="7"/>
      <x:c r="T322" s="7"/>
      <x:c r="U322" s="7"/>
      <x:c r="V322" s="7"/>
      <x:c r="W322" s="7"/>
      <x:c r="X322" s="7"/>
      <x:c r="Y322" s="7"/>
      <x:c r="Z322" s="7"/>
      <x:c r="AA322" s="7"/>
      <x:c r="AB322" s="7"/>
      <x:c r="AC322" s="7"/>
      <x:c r="AD322" s="7"/>
      <x:c r="AE322" s="3"/>
      <x:c r="AF322" s="3"/>
      <x:c r="AG322" s="3"/>
      <x:c r="AH322" s="3"/>
      <x:c r="AI322" s="3"/>
      <x:c r="AJ322" s="9" t="str">
        <x:f>IF(A322="","",A322&amp;"|"&amp;B322)</x:f>
      </x:c>
      <x:c r="AK322" s="9" t="str">
        <x:f>IF(A322="",IF(B322="","","MISSING_TEST_ID"),IF(B322="","MISSING_RUN_ID",IF(COUNTIFS($A$2:$A$501,A322,$B$2:$B$501,B322)&lt;&gt;1,"DUPLICATE_ID","OK")))</x:f>
      </x:c>
      <x:c r="AL322" s="9" t="str">
        <x:f>IF(A322="","",IF(AND(AK322="OK",J322="READY",F322&lt;&gt;"",G322&lt;&gt;"",K322&lt;&gt;"",OR(L322="PASS",L322="FAIL"),M322&lt;&gt;"",P322="social-publication-v2"),"YES","NO"))</x:f>
      </x:c>
      <x:c r="AM322" s="9" t="str">
        <x:f>IF(A322="","",IF(AND(AK322="OK",J322="READY",F322&lt;&gt;"",G322&lt;&gt;"",K322&lt;&gt;"",S322="OK",OR(R322="PASS",R322="FAIL")),"YES","NO"))</x:f>
      </x:c>
      <x:c r="AN322" s="9" t="str">
        <x:f>IF(A322="","",F322&amp;" | "&amp;G322&amp;" | "&amp;H322&amp;" | "&amp;I322)</x:f>
      </x:c>
    </x:row>
    <x:row r="323" ht="33" customHeight="1">
      <x:c r="A323" s="3"/>
      <x:c r="B323" s="3"/>
      <x:c r="C323" s="3"/>
      <x:c r="D323" s="3"/>
      <x:c r="E323" s="3"/>
      <x:c r="F323" s="3"/>
      <x:c r="G323" s="3"/>
      <x:c r="H323" s="3"/>
      <x:c r="I323" s="3"/>
      <x:c r="J323" s="3"/>
      <x:c r="K323" s="3"/>
      <x:c r="L323" s="6"/>
      <x:c r="M323" s="6"/>
      <x:c r="N323" s="6"/>
      <x:c r="O323" s="6"/>
      <x:c r="P323" s="6"/>
      <x:c r="Q323" s="7"/>
      <x:c r="R323" s="7"/>
      <x:c r="S323" s="7"/>
      <x:c r="T323" s="7"/>
      <x:c r="U323" s="7"/>
      <x:c r="V323" s="7"/>
      <x:c r="W323" s="7"/>
      <x:c r="X323" s="7"/>
      <x:c r="Y323" s="7"/>
      <x:c r="Z323" s="7"/>
      <x:c r="AA323" s="7"/>
      <x:c r="AB323" s="7"/>
      <x:c r="AC323" s="7"/>
      <x:c r="AD323" s="7"/>
      <x:c r="AE323" s="3"/>
      <x:c r="AF323" s="3"/>
      <x:c r="AG323" s="3"/>
      <x:c r="AH323" s="3"/>
      <x:c r="AI323" s="3"/>
      <x:c r="AJ323" s="9" t="str">
        <x:f>IF(A323="","",A323&amp;"|"&amp;B323)</x:f>
      </x:c>
      <x:c r="AK323" s="9" t="str">
        <x:f>IF(A323="",IF(B323="","","MISSING_TEST_ID"),IF(B323="","MISSING_RUN_ID",IF(COUNTIFS($A$2:$A$501,A323,$B$2:$B$501,B323)&lt;&gt;1,"DUPLICATE_ID","OK")))</x:f>
      </x:c>
      <x:c r="AL323" s="9" t="str">
        <x:f>IF(A323="","",IF(AND(AK323="OK",J323="READY",F323&lt;&gt;"",G323&lt;&gt;"",K323&lt;&gt;"",OR(L323="PASS",L323="FAIL"),M323&lt;&gt;"",P323="social-publication-v2"),"YES","NO"))</x:f>
      </x:c>
      <x:c r="AM323" s="9" t="str">
        <x:f>IF(A323="","",IF(AND(AK323="OK",J323="READY",F323&lt;&gt;"",G323&lt;&gt;"",K323&lt;&gt;"",S323="OK",OR(R323="PASS",R323="FAIL")),"YES","NO"))</x:f>
      </x:c>
      <x:c r="AN323" s="9" t="str">
        <x:f>IF(A323="","",F323&amp;" | "&amp;G323&amp;" | "&amp;H323&amp;" | "&amp;I323)</x:f>
      </x:c>
    </x:row>
    <x:row r="324" ht="33" customHeight="1">
      <x:c r="A324" s="3"/>
      <x:c r="B324" s="3"/>
      <x:c r="C324" s="3"/>
      <x:c r="D324" s="3"/>
      <x:c r="E324" s="3"/>
      <x:c r="F324" s="3"/>
      <x:c r="G324" s="3"/>
      <x:c r="H324" s="3"/>
      <x:c r="I324" s="3"/>
      <x:c r="J324" s="3"/>
      <x:c r="K324" s="3"/>
      <x:c r="L324" s="6"/>
      <x:c r="M324" s="6"/>
      <x:c r="N324" s="6"/>
      <x:c r="O324" s="6"/>
      <x:c r="P324" s="6"/>
      <x:c r="Q324" s="7"/>
      <x:c r="R324" s="7"/>
      <x:c r="S324" s="7"/>
      <x:c r="T324" s="7"/>
      <x:c r="U324" s="7"/>
      <x:c r="V324" s="7"/>
      <x:c r="W324" s="7"/>
      <x:c r="X324" s="7"/>
      <x:c r="Y324" s="7"/>
      <x:c r="Z324" s="7"/>
      <x:c r="AA324" s="7"/>
      <x:c r="AB324" s="7"/>
      <x:c r="AC324" s="7"/>
      <x:c r="AD324" s="7"/>
      <x:c r="AE324" s="3"/>
      <x:c r="AF324" s="3"/>
      <x:c r="AG324" s="3"/>
      <x:c r="AH324" s="3"/>
      <x:c r="AI324" s="3"/>
      <x:c r="AJ324" s="9" t="str">
        <x:f>IF(A324="","",A324&amp;"|"&amp;B324)</x:f>
      </x:c>
      <x:c r="AK324" s="9" t="str">
        <x:f>IF(A324="",IF(B324="","","MISSING_TEST_ID"),IF(B324="","MISSING_RUN_ID",IF(COUNTIFS($A$2:$A$501,A324,$B$2:$B$501,B324)&lt;&gt;1,"DUPLICATE_ID","OK")))</x:f>
      </x:c>
      <x:c r="AL324" s="9" t="str">
        <x:f>IF(A324="","",IF(AND(AK324="OK",J324="READY",F324&lt;&gt;"",G324&lt;&gt;"",K324&lt;&gt;"",OR(L324="PASS",L324="FAIL"),M324&lt;&gt;"",P324="social-publication-v2"),"YES","NO"))</x:f>
      </x:c>
      <x:c r="AM324" s="9" t="str">
        <x:f>IF(A324="","",IF(AND(AK324="OK",J324="READY",F324&lt;&gt;"",G324&lt;&gt;"",K324&lt;&gt;"",S324="OK",OR(R324="PASS",R324="FAIL")),"YES","NO"))</x:f>
      </x:c>
      <x:c r="AN324" s="9" t="str">
        <x:f>IF(A324="","",F324&amp;" | "&amp;G324&amp;" | "&amp;H324&amp;" | "&amp;I324)</x:f>
      </x:c>
    </x:row>
    <x:row r="325" ht="33" customHeight="1">
      <x:c r="A325" s="3"/>
      <x:c r="B325" s="3"/>
      <x:c r="C325" s="3"/>
      <x:c r="D325" s="3"/>
      <x:c r="E325" s="3"/>
      <x:c r="F325" s="3"/>
      <x:c r="G325" s="3"/>
      <x:c r="H325" s="3"/>
      <x:c r="I325" s="3"/>
      <x:c r="J325" s="3"/>
      <x:c r="K325" s="3"/>
      <x:c r="L325" s="6"/>
      <x:c r="M325" s="6"/>
      <x:c r="N325" s="6"/>
      <x:c r="O325" s="6"/>
      <x:c r="P325" s="6"/>
      <x:c r="Q325" s="7"/>
      <x:c r="R325" s="7"/>
      <x:c r="S325" s="7"/>
      <x:c r="T325" s="7"/>
      <x:c r="U325" s="7"/>
      <x:c r="V325" s="7"/>
      <x:c r="W325" s="7"/>
      <x:c r="X325" s="7"/>
      <x:c r="Y325" s="7"/>
      <x:c r="Z325" s="7"/>
      <x:c r="AA325" s="7"/>
      <x:c r="AB325" s="7"/>
      <x:c r="AC325" s="7"/>
      <x:c r="AD325" s="7"/>
      <x:c r="AE325" s="3"/>
      <x:c r="AF325" s="3"/>
      <x:c r="AG325" s="3"/>
      <x:c r="AH325" s="3"/>
      <x:c r="AI325" s="3"/>
      <x:c r="AJ325" s="9" t="str">
        <x:f>IF(A325="","",A325&amp;"|"&amp;B325)</x:f>
      </x:c>
      <x:c r="AK325" s="9" t="str">
        <x:f>IF(A325="",IF(B325="","","MISSING_TEST_ID"),IF(B325="","MISSING_RUN_ID",IF(COUNTIFS($A$2:$A$501,A325,$B$2:$B$501,B325)&lt;&gt;1,"DUPLICATE_ID","OK")))</x:f>
      </x:c>
      <x:c r="AL325" s="9" t="str">
        <x:f>IF(A325="","",IF(AND(AK325="OK",J325="READY",F325&lt;&gt;"",G325&lt;&gt;"",K325&lt;&gt;"",OR(L325="PASS",L325="FAIL"),M325&lt;&gt;"",P325="social-publication-v2"),"YES","NO"))</x:f>
      </x:c>
      <x:c r="AM325" s="9" t="str">
        <x:f>IF(A325="","",IF(AND(AK325="OK",J325="READY",F325&lt;&gt;"",G325&lt;&gt;"",K325&lt;&gt;"",S325="OK",OR(R325="PASS",R325="FAIL")),"YES","NO"))</x:f>
      </x:c>
      <x:c r="AN325" s="9" t="str">
        <x:f>IF(A325="","",F325&amp;" | "&amp;G325&amp;" | "&amp;H325&amp;" | "&amp;I325)</x:f>
      </x:c>
    </x:row>
    <x:row r="326" ht="33" customHeight="1">
      <x:c r="A326" s="3"/>
      <x:c r="B326" s="3"/>
      <x:c r="C326" s="3"/>
      <x:c r="D326" s="3"/>
      <x:c r="E326" s="3"/>
      <x:c r="F326" s="3"/>
      <x:c r="G326" s="3"/>
      <x:c r="H326" s="3"/>
      <x:c r="I326" s="3"/>
      <x:c r="J326" s="3"/>
      <x:c r="K326" s="3"/>
      <x:c r="L326" s="6"/>
      <x:c r="M326" s="6"/>
      <x:c r="N326" s="6"/>
      <x:c r="O326" s="6"/>
      <x:c r="P326" s="6"/>
      <x:c r="Q326" s="7"/>
      <x:c r="R326" s="7"/>
      <x:c r="S326" s="7"/>
      <x:c r="T326" s="7"/>
      <x:c r="U326" s="7"/>
      <x:c r="V326" s="7"/>
      <x:c r="W326" s="7"/>
      <x:c r="X326" s="7"/>
      <x:c r="Y326" s="7"/>
      <x:c r="Z326" s="7"/>
      <x:c r="AA326" s="7"/>
      <x:c r="AB326" s="7"/>
      <x:c r="AC326" s="7"/>
      <x:c r="AD326" s="7"/>
      <x:c r="AE326" s="3"/>
      <x:c r="AF326" s="3"/>
      <x:c r="AG326" s="3"/>
      <x:c r="AH326" s="3"/>
      <x:c r="AI326" s="3"/>
      <x:c r="AJ326" s="9" t="str">
        <x:f>IF(A326="","",A326&amp;"|"&amp;B326)</x:f>
      </x:c>
      <x:c r="AK326" s="9" t="str">
        <x:f>IF(A326="",IF(B326="","","MISSING_TEST_ID"),IF(B326="","MISSING_RUN_ID",IF(COUNTIFS($A$2:$A$501,A326,$B$2:$B$501,B326)&lt;&gt;1,"DUPLICATE_ID","OK")))</x:f>
      </x:c>
      <x:c r="AL326" s="9" t="str">
        <x:f>IF(A326="","",IF(AND(AK326="OK",J326="READY",F326&lt;&gt;"",G326&lt;&gt;"",K326&lt;&gt;"",OR(L326="PASS",L326="FAIL"),M326&lt;&gt;"",P326="social-publication-v2"),"YES","NO"))</x:f>
      </x:c>
      <x:c r="AM326" s="9" t="str">
        <x:f>IF(A326="","",IF(AND(AK326="OK",J326="READY",F326&lt;&gt;"",G326&lt;&gt;"",K326&lt;&gt;"",S326="OK",OR(R326="PASS",R326="FAIL")),"YES","NO"))</x:f>
      </x:c>
      <x:c r="AN326" s="9" t="str">
        <x:f>IF(A326="","",F326&amp;" | "&amp;G326&amp;" | "&amp;H326&amp;" | "&amp;I326)</x:f>
      </x:c>
    </x:row>
    <x:row r="327" ht="33" customHeight="1">
      <x:c r="A327" s="3"/>
      <x:c r="B327" s="3"/>
      <x:c r="C327" s="3"/>
      <x:c r="D327" s="3"/>
      <x:c r="E327" s="3"/>
      <x:c r="F327" s="3"/>
      <x:c r="G327" s="3"/>
      <x:c r="H327" s="3"/>
      <x:c r="I327" s="3"/>
      <x:c r="J327" s="3"/>
      <x:c r="K327" s="3"/>
      <x:c r="L327" s="6"/>
      <x:c r="M327" s="6"/>
      <x:c r="N327" s="6"/>
      <x:c r="O327" s="6"/>
      <x:c r="P327" s="6"/>
      <x:c r="Q327" s="7"/>
      <x:c r="R327" s="7"/>
      <x:c r="S327" s="7"/>
      <x:c r="T327" s="7"/>
      <x:c r="U327" s="7"/>
      <x:c r="V327" s="7"/>
      <x:c r="W327" s="7"/>
      <x:c r="X327" s="7"/>
      <x:c r="Y327" s="7"/>
      <x:c r="Z327" s="7"/>
      <x:c r="AA327" s="7"/>
      <x:c r="AB327" s="7"/>
      <x:c r="AC327" s="7"/>
      <x:c r="AD327" s="7"/>
      <x:c r="AE327" s="3"/>
      <x:c r="AF327" s="3"/>
      <x:c r="AG327" s="3"/>
      <x:c r="AH327" s="3"/>
      <x:c r="AI327" s="3"/>
      <x:c r="AJ327" s="9" t="str">
        <x:f>IF(A327="","",A327&amp;"|"&amp;B327)</x:f>
      </x:c>
      <x:c r="AK327" s="9" t="str">
        <x:f>IF(A327="",IF(B327="","","MISSING_TEST_ID"),IF(B327="","MISSING_RUN_ID",IF(COUNTIFS($A$2:$A$501,A327,$B$2:$B$501,B327)&lt;&gt;1,"DUPLICATE_ID","OK")))</x:f>
      </x:c>
      <x:c r="AL327" s="9" t="str">
        <x:f>IF(A327="","",IF(AND(AK327="OK",J327="READY",F327&lt;&gt;"",G327&lt;&gt;"",K327&lt;&gt;"",OR(L327="PASS",L327="FAIL"),M327&lt;&gt;"",P327="social-publication-v2"),"YES","NO"))</x:f>
      </x:c>
      <x:c r="AM327" s="9" t="str">
        <x:f>IF(A327="","",IF(AND(AK327="OK",J327="READY",F327&lt;&gt;"",G327&lt;&gt;"",K327&lt;&gt;"",S327="OK",OR(R327="PASS",R327="FAIL")),"YES","NO"))</x:f>
      </x:c>
      <x:c r="AN327" s="9" t="str">
        <x:f>IF(A327="","",F327&amp;" | "&amp;G327&amp;" | "&amp;H327&amp;" | "&amp;I327)</x:f>
      </x:c>
    </x:row>
    <x:row r="328" ht="33" customHeight="1">
      <x:c r="A328" s="3"/>
      <x:c r="B328" s="3"/>
      <x:c r="C328" s="3"/>
      <x:c r="D328" s="3"/>
      <x:c r="E328" s="3"/>
      <x:c r="F328" s="3"/>
      <x:c r="G328" s="3"/>
      <x:c r="H328" s="3"/>
      <x:c r="I328" s="3"/>
      <x:c r="J328" s="3"/>
      <x:c r="K328" s="3"/>
      <x:c r="L328" s="6"/>
      <x:c r="M328" s="6"/>
      <x:c r="N328" s="6"/>
      <x:c r="O328" s="6"/>
      <x:c r="P328" s="6"/>
      <x:c r="Q328" s="7"/>
      <x:c r="R328" s="7"/>
      <x:c r="S328" s="7"/>
      <x:c r="T328" s="7"/>
      <x:c r="U328" s="7"/>
      <x:c r="V328" s="7"/>
      <x:c r="W328" s="7"/>
      <x:c r="X328" s="7"/>
      <x:c r="Y328" s="7"/>
      <x:c r="Z328" s="7"/>
      <x:c r="AA328" s="7"/>
      <x:c r="AB328" s="7"/>
      <x:c r="AC328" s="7"/>
      <x:c r="AD328" s="7"/>
      <x:c r="AE328" s="3"/>
      <x:c r="AF328" s="3"/>
      <x:c r="AG328" s="3"/>
      <x:c r="AH328" s="3"/>
      <x:c r="AI328" s="3"/>
      <x:c r="AJ328" s="9" t="str">
        <x:f>IF(A328="","",A328&amp;"|"&amp;B328)</x:f>
      </x:c>
      <x:c r="AK328" s="9" t="str">
        <x:f>IF(A328="",IF(B328="","","MISSING_TEST_ID"),IF(B328="","MISSING_RUN_ID",IF(COUNTIFS($A$2:$A$501,A328,$B$2:$B$501,B328)&lt;&gt;1,"DUPLICATE_ID","OK")))</x:f>
      </x:c>
      <x:c r="AL328" s="9" t="str">
        <x:f>IF(A328="","",IF(AND(AK328="OK",J328="READY",F328&lt;&gt;"",G328&lt;&gt;"",K328&lt;&gt;"",OR(L328="PASS",L328="FAIL"),M328&lt;&gt;"",P328="social-publication-v2"),"YES","NO"))</x:f>
      </x:c>
      <x:c r="AM328" s="9" t="str">
        <x:f>IF(A328="","",IF(AND(AK328="OK",J328="READY",F328&lt;&gt;"",G328&lt;&gt;"",K328&lt;&gt;"",S328="OK",OR(R328="PASS",R328="FAIL")),"YES","NO"))</x:f>
      </x:c>
      <x:c r="AN328" s="9" t="str">
        <x:f>IF(A328="","",F328&amp;" | "&amp;G328&amp;" | "&amp;H328&amp;" | "&amp;I328)</x:f>
      </x:c>
    </x:row>
    <x:row r="329" ht="33" customHeight="1">
      <x:c r="A329" s="3"/>
      <x:c r="B329" s="3"/>
      <x:c r="C329" s="3"/>
      <x:c r="D329" s="3"/>
      <x:c r="E329" s="3"/>
      <x:c r="F329" s="3"/>
      <x:c r="G329" s="3"/>
      <x:c r="H329" s="3"/>
      <x:c r="I329" s="3"/>
      <x:c r="J329" s="3"/>
      <x:c r="K329" s="3"/>
      <x:c r="L329" s="6"/>
      <x:c r="M329" s="6"/>
      <x:c r="N329" s="6"/>
      <x:c r="O329" s="6"/>
      <x:c r="P329" s="6"/>
      <x:c r="Q329" s="7"/>
      <x:c r="R329" s="7"/>
      <x:c r="S329" s="7"/>
      <x:c r="T329" s="7"/>
      <x:c r="U329" s="7"/>
      <x:c r="V329" s="7"/>
      <x:c r="W329" s="7"/>
      <x:c r="X329" s="7"/>
      <x:c r="Y329" s="7"/>
      <x:c r="Z329" s="7"/>
      <x:c r="AA329" s="7"/>
      <x:c r="AB329" s="7"/>
      <x:c r="AC329" s="7"/>
      <x:c r="AD329" s="7"/>
      <x:c r="AE329" s="3"/>
      <x:c r="AF329" s="3"/>
      <x:c r="AG329" s="3"/>
      <x:c r="AH329" s="3"/>
      <x:c r="AI329" s="3"/>
      <x:c r="AJ329" s="9" t="str">
        <x:f>IF(A329="","",A329&amp;"|"&amp;B329)</x:f>
      </x:c>
      <x:c r="AK329" s="9" t="str">
        <x:f>IF(A329="",IF(B329="","","MISSING_TEST_ID"),IF(B329="","MISSING_RUN_ID",IF(COUNTIFS($A$2:$A$501,A329,$B$2:$B$501,B329)&lt;&gt;1,"DUPLICATE_ID","OK")))</x:f>
      </x:c>
      <x:c r="AL329" s="9" t="str">
        <x:f>IF(A329="","",IF(AND(AK329="OK",J329="READY",F329&lt;&gt;"",G329&lt;&gt;"",K329&lt;&gt;"",OR(L329="PASS",L329="FAIL"),M329&lt;&gt;"",P329="social-publication-v2"),"YES","NO"))</x:f>
      </x:c>
      <x:c r="AM329" s="9" t="str">
        <x:f>IF(A329="","",IF(AND(AK329="OK",J329="READY",F329&lt;&gt;"",G329&lt;&gt;"",K329&lt;&gt;"",S329="OK",OR(R329="PASS",R329="FAIL")),"YES","NO"))</x:f>
      </x:c>
      <x:c r="AN329" s="9" t="str">
        <x:f>IF(A329="","",F329&amp;" | "&amp;G329&amp;" | "&amp;H329&amp;" | "&amp;I329)</x:f>
      </x:c>
    </x:row>
    <x:row r="330" ht="33" customHeight="1">
      <x:c r="A330" s="3"/>
      <x:c r="B330" s="3"/>
      <x:c r="C330" s="3"/>
      <x:c r="D330" s="3"/>
      <x:c r="E330" s="3"/>
      <x:c r="F330" s="3"/>
      <x:c r="G330" s="3"/>
      <x:c r="H330" s="3"/>
      <x:c r="I330" s="3"/>
      <x:c r="J330" s="3"/>
      <x:c r="K330" s="3"/>
      <x:c r="L330" s="6"/>
      <x:c r="M330" s="6"/>
      <x:c r="N330" s="6"/>
      <x:c r="O330" s="6"/>
      <x:c r="P330" s="6"/>
      <x:c r="Q330" s="7"/>
      <x:c r="R330" s="7"/>
      <x:c r="S330" s="7"/>
      <x:c r="T330" s="7"/>
      <x:c r="U330" s="7"/>
      <x:c r="V330" s="7"/>
      <x:c r="W330" s="7"/>
      <x:c r="X330" s="7"/>
      <x:c r="Y330" s="7"/>
      <x:c r="Z330" s="7"/>
      <x:c r="AA330" s="7"/>
      <x:c r="AB330" s="7"/>
      <x:c r="AC330" s="7"/>
      <x:c r="AD330" s="7"/>
      <x:c r="AE330" s="3"/>
      <x:c r="AF330" s="3"/>
      <x:c r="AG330" s="3"/>
      <x:c r="AH330" s="3"/>
      <x:c r="AI330" s="3"/>
      <x:c r="AJ330" s="9" t="str">
        <x:f>IF(A330="","",A330&amp;"|"&amp;B330)</x:f>
      </x:c>
      <x:c r="AK330" s="9" t="str">
        <x:f>IF(A330="",IF(B330="","","MISSING_TEST_ID"),IF(B330="","MISSING_RUN_ID",IF(COUNTIFS($A$2:$A$501,A330,$B$2:$B$501,B330)&lt;&gt;1,"DUPLICATE_ID","OK")))</x:f>
      </x:c>
      <x:c r="AL330" s="9" t="str">
        <x:f>IF(A330="","",IF(AND(AK330="OK",J330="READY",F330&lt;&gt;"",G330&lt;&gt;"",K330&lt;&gt;"",OR(L330="PASS",L330="FAIL"),M330&lt;&gt;"",P330="social-publication-v2"),"YES","NO"))</x:f>
      </x:c>
      <x:c r="AM330" s="9" t="str">
        <x:f>IF(A330="","",IF(AND(AK330="OK",J330="READY",F330&lt;&gt;"",G330&lt;&gt;"",K330&lt;&gt;"",S330="OK",OR(R330="PASS",R330="FAIL")),"YES","NO"))</x:f>
      </x:c>
      <x:c r="AN330" s="9" t="str">
        <x:f>IF(A330="","",F330&amp;" | "&amp;G330&amp;" | "&amp;H330&amp;" | "&amp;I330)</x:f>
      </x:c>
    </x:row>
    <x:row r="331" ht="33" customHeight="1">
      <x:c r="A331" s="3"/>
      <x:c r="B331" s="3"/>
      <x:c r="C331" s="3"/>
      <x:c r="D331" s="3"/>
      <x:c r="E331" s="3"/>
      <x:c r="F331" s="3"/>
      <x:c r="G331" s="3"/>
      <x:c r="H331" s="3"/>
      <x:c r="I331" s="3"/>
      <x:c r="J331" s="3"/>
      <x:c r="K331" s="3"/>
      <x:c r="L331" s="6"/>
      <x:c r="M331" s="6"/>
      <x:c r="N331" s="6"/>
      <x:c r="O331" s="6"/>
      <x:c r="P331" s="6"/>
      <x:c r="Q331" s="7"/>
      <x:c r="R331" s="7"/>
      <x:c r="S331" s="7"/>
      <x:c r="T331" s="7"/>
      <x:c r="U331" s="7"/>
      <x:c r="V331" s="7"/>
      <x:c r="W331" s="7"/>
      <x:c r="X331" s="7"/>
      <x:c r="Y331" s="7"/>
      <x:c r="Z331" s="7"/>
      <x:c r="AA331" s="7"/>
      <x:c r="AB331" s="7"/>
      <x:c r="AC331" s="7"/>
      <x:c r="AD331" s="7"/>
      <x:c r="AE331" s="3"/>
      <x:c r="AF331" s="3"/>
      <x:c r="AG331" s="3"/>
      <x:c r="AH331" s="3"/>
      <x:c r="AI331" s="3"/>
      <x:c r="AJ331" s="9" t="str">
        <x:f>IF(A331="","",A331&amp;"|"&amp;B331)</x:f>
      </x:c>
      <x:c r="AK331" s="9" t="str">
        <x:f>IF(A331="",IF(B331="","","MISSING_TEST_ID"),IF(B331="","MISSING_RUN_ID",IF(COUNTIFS($A$2:$A$501,A331,$B$2:$B$501,B331)&lt;&gt;1,"DUPLICATE_ID","OK")))</x:f>
      </x:c>
      <x:c r="AL331" s="9" t="str">
        <x:f>IF(A331="","",IF(AND(AK331="OK",J331="READY",F331&lt;&gt;"",G331&lt;&gt;"",K331&lt;&gt;"",OR(L331="PASS",L331="FAIL"),M331&lt;&gt;"",P331="social-publication-v2"),"YES","NO"))</x:f>
      </x:c>
      <x:c r="AM331" s="9" t="str">
        <x:f>IF(A331="","",IF(AND(AK331="OK",J331="READY",F331&lt;&gt;"",G331&lt;&gt;"",K331&lt;&gt;"",S331="OK",OR(R331="PASS",R331="FAIL")),"YES","NO"))</x:f>
      </x:c>
      <x:c r="AN331" s="9" t="str">
        <x:f>IF(A331="","",F331&amp;" | "&amp;G331&amp;" | "&amp;H331&amp;" | "&amp;I331)</x:f>
      </x:c>
    </x:row>
    <x:row r="332" ht="33" customHeight="1">
      <x:c r="A332" s="3"/>
      <x:c r="B332" s="3"/>
      <x:c r="C332" s="3"/>
      <x:c r="D332" s="3"/>
      <x:c r="E332" s="3"/>
      <x:c r="F332" s="3"/>
      <x:c r="G332" s="3"/>
      <x:c r="H332" s="3"/>
      <x:c r="I332" s="3"/>
      <x:c r="J332" s="3"/>
      <x:c r="K332" s="3"/>
      <x:c r="L332" s="6"/>
      <x:c r="M332" s="6"/>
      <x:c r="N332" s="6"/>
      <x:c r="O332" s="6"/>
      <x:c r="P332" s="6"/>
      <x:c r="Q332" s="7"/>
      <x:c r="R332" s="7"/>
      <x:c r="S332" s="7"/>
      <x:c r="T332" s="7"/>
      <x:c r="U332" s="7"/>
      <x:c r="V332" s="7"/>
      <x:c r="W332" s="7"/>
      <x:c r="X332" s="7"/>
      <x:c r="Y332" s="7"/>
      <x:c r="Z332" s="7"/>
      <x:c r="AA332" s="7"/>
      <x:c r="AB332" s="7"/>
      <x:c r="AC332" s="7"/>
      <x:c r="AD332" s="7"/>
      <x:c r="AE332" s="3"/>
      <x:c r="AF332" s="3"/>
      <x:c r="AG332" s="3"/>
      <x:c r="AH332" s="3"/>
      <x:c r="AI332" s="3"/>
      <x:c r="AJ332" s="9" t="str">
        <x:f>IF(A332="","",A332&amp;"|"&amp;B332)</x:f>
      </x:c>
      <x:c r="AK332" s="9" t="str">
        <x:f>IF(A332="",IF(B332="","","MISSING_TEST_ID"),IF(B332="","MISSING_RUN_ID",IF(COUNTIFS($A$2:$A$501,A332,$B$2:$B$501,B332)&lt;&gt;1,"DUPLICATE_ID","OK")))</x:f>
      </x:c>
      <x:c r="AL332" s="9" t="str">
        <x:f>IF(A332="","",IF(AND(AK332="OK",J332="READY",F332&lt;&gt;"",G332&lt;&gt;"",K332&lt;&gt;"",OR(L332="PASS",L332="FAIL"),M332&lt;&gt;"",P332="social-publication-v2"),"YES","NO"))</x:f>
      </x:c>
      <x:c r="AM332" s="9" t="str">
        <x:f>IF(A332="","",IF(AND(AK332="OK",J332="READY",F332&lt;&gt;"",G332&lt;&gt;"",K332&lt;&gt;"",S332="OK",OR(R332="PASS",R332="FAIL")),"YES","NO"))</x:f>
      </x:c>
      <x:c r="AN332" s="9" t="str">
        <x:f>IF(A332="","",F332&amp;" | "&amp;G332&amp;" | "&amp;H332&amp;" | "&amp;I332)</x:f>
      </x:c>
    </x:row>
    <x:row r="333" ht="33" customHeight="1">
      <x:c r="A333" s="3"/>
      <x:c r="B333" s="3"/>
      <x:c r="C333" s="3"/>
      <x:c r="D333" s="3"/>
      <x:c r="E333" s="3"/>
      <x:c r="F333" s="3"/>
      <x:c r="G333" s="3"/>
      <x:c r="H333" s="3"/>
      <x:c r="I333" s="3"/>
      <x:c r="J333" s="3"/>
      <x:c r="K333" s="3"/>
      <x:c r="L333" s="6"/>
      <x:c r="M333" s="6"/>
      <x:c r="N333" s="6"/>
      <x:c r="O333" s="6"/>
      <x:c r="P333" s="6"/>
      <x:c r="Q333" s="7"/>
      <x:c r="R333" s="7"/>
      <x:c r="S333" s="7"/>
      <x:c r="T333" s="7"/>
      <x:c r="U333" s="7"/>
      <x:c r="V333" s="7"/>
      <x:c r="W333" s="7"/>
      <x:c r="X333" s="7"/>
      <x:c r="Y333" s="7"/>
      <x:c r="Z333" s="7"/>
      <x:c r="AA333" s="7"/>
      <x:c r="AB333" s="7"/>
      <x:c r="AC333" s="7"/>
      <x:c r="AD333" s="7"/>
      <x:c r="AE333" s="3"/>
      <x:c r="AF333" s="3"/>
      <x:c r="AG333" s="3"/>
      <x:c r="AH333" s="3"/>
      <x:c r="AI333" s="3"/>
      <x:c r="AJ333" s="9" t="str">
        <x:f>IF(A333="","",A333&amp;"|"&amp;B333)</x:f>
      </x:c>
      <x:c r="AK333" s="9" t="str">
        <x:f>IF(A333="",IF(B333="","","MISSING_TEST_ID"),IF(B333="","MISSING_RUN_ID",IF(COUNTIFS($A$2:$A$501,A333,$B$2:$B$501,B333)&lt;&gt;1,"DUPLICATE_ID","OK")))</x:f>
      </x:c>
      <x:c r="AL333" s="9" t="str">
        <x:f>IF(A333="","",IF(AND(AK333="OK",J333="READY",F333&lt;&gt;"",G333&lt;&gt;"",K333&lt;&gt;"",OR(L333="PASS",L333="FAIL"),M333&lt;&gt;"",P333="social-publication-v2"),"YES","NO"))</x:f>
      </x:c>
      <x:c r="AM333" s="9" t="str">
        <x:f>IF(A333="","",IF(AND(AK333="OK",J333="READY",F333&lt;&gt;"",G333&lt;&gt;"",K333&lt;&gt;"",S333="OK",OR(R333="PASS",R333="FAIL")),"YES","NO"))</x:f>
      </x:c>
      <x:c r="AN333" s="9" t="str">
        <x:f>IF(A333="","",F333&amp;" | "&amp;G333&amp;" | "&amp;H333&amp;" | "&amp;I333)</x:f>
      </x:c>
    </x:row>
    <x:row r="334" ht="33" customHeight="1">
      <x:c r="A334" s="3"/>
      <x:c r="B334" s="3"/>
      <x:c r="C334" s="3"/>
      <x:c r="D334" s="3"/>
      <x:c r="E334" s="3"/>
      <x:c r="F334" s="3"/>
      <x:c r="G334" s="3"/>
      <x:c r="H334" s="3"/>
      <x:c r="I334" s="3"/>
      <x:c r="J334" s="3"/>
      <x:c r="K334" s="3"/>
      <x:c r="L334" s="6"/>
      <x:c r="M334" s="6"/>
      <x:c r="N334" s="6"/>
      <x:c r="O334" s="6"/>
      <x:c r="P334" s="6"/>
      <x:c r="Q334" s="7"/>
      <x:c r="R334" s="7"/>
      <x:c r="S334" s="7"/>
      <x:c r="T334" s="7"/>
      <x:c r="U334" s="7"/>
      <x:c r="V334" s="7"/>
      <x:c r="W334" s="7"/>
      <x:c r="X334" s="7"/>
      <x:c r="Y334" s="7"/>
      <x:c r="Z334" s="7"/>
      <x:c r="AA334" s="7"/>
      <x:c r="AB334" s="7"/>
      <x:c r="AC334" s="7"/>
      <x:c r="AD334" s="7"/>
      <x:c r="AE334" s="3"/>
      <x:c r="AF334" s="3"/>
      <x:c r="AG334" s="3"/>
      <x:c r="AH334" s="3"/>
      <x:c r="AI334" s="3"/>
      <x:c r="AJ334" s="9" t="str">
        <x:f>IF(A334="","",A334&amp;"|"&amp;B334)</x:f>
      </x:c>
      <x:c r="AK334" s="9" t="str">
        <x:f>IF(A334="",IF(B334="","","MISSING_TEST_ID"),IF(B334="","MISSING_RUN_ID",IF(COUNTIFS($A$2:$A$501,A334,$B$2:$B$501,B334)&lt;&gt;1,"DUPLICATE_ID","OK")))</x:f>
      </x:c>
      <x:c r="AL334" s="9" t="str">
        <x:f>IF(A334="","",IF(AND(AK334="OK",J334="READY",F334&lt;&gt;"",G334&lt;&gt;"",K334&lt;&gt;"",OR(L334="PASS",L334="FAIL"),M334&lt;&gt;"",P334="social-publication-v2"),"YES","NO"))</x:f>
      </x:c>
      <x:c r="AM334" s="9" t="str">
        <x:f>IF(A334="","",IF(AND(AK334="OK",J334="READY",F334&lt;&gt;"",G334&lt;&gt;"",K334&lt;&gt;"",S334="OK",OR(R334="PASS",R334="FAIL")),"YES","NO"))</x:f>
      </x:c>
      <x:c r="AN334" s="9" t="str">
        <x:f>IF(A334="","",F334&amp;" | "&amp;G334&amp;" | "&amp;H334&amp;" | "&amp;I334)</x:f>
      </x:c>
    </x:row>
    <x:row r="335" ht="33" customHeight="1">
      <x:c r="A335" s="3"/>
      <x:c r="B335" s="3"/>
      <x:c r="C335" s="3"/>
      <x:c r="D335" s="3"/>
      <x:c r="E335" s="3"/>
      <x:c r="F335" s="3"/>
      <x:c r="G335" s="3"/>
      <x:c r="H335" s="3"/>
      <x:c r="I335" s="3"/>
      <x:c r="J335" s="3"/>
      <x:c r="K335" s="3"/>
      <x:c r="L335" s="6"/>
      <x:c r="M335" s="6"/>
      <x:c r="N335" s="6"/>
      <x:c r="O335" s="6"/>
      <x:c r="P335" s="6"/>
      <x:c r="Q335" s="7"/>
      <x:c r="R335" s="7"/>
      <x:c r="S335" s="7"/>
      <x:c r="T335" s="7"/>
      <x:c r="U335" s="7"/>
      <x:c r="V335" s="7"/>
      <x:c r="W335" s="7"/>
      <x:c r="X335" s="7"/>
      <x:c r="Y335" s="7"/>
      <x:c r="Z335" s="7"/>
      <x:c r="AA335" s="7"/>
      <x:c r="AB335" s="7"/>
      <x:c r="AC335" s="7"/>
      <x:c r="AD335" s="7"/>
      <x:c r="AE335" s="3"/>
      <x:c r="AF335" s="3"/>
      <x:c r="AG335" s="3"/>
      <x:c r="AH335" s="3"/>
      <x:c r="AI335" s="3"/>
      <x:c r="AJ335" s="9" t="str">
        <x:f>IF(A335="","",A335&amp;"|"&amp;B335)</x:f>
      </x:c>
      <x:c r="AK335" s="9" t="str">
        <x:f>IF(A335="",IF(B335="","","MISSING_TEST_ID"),IF(B335="","MISSING_RUN_ID",IF(COUNTIFS($A$2:$A$501,A335,$B$2:$B$501,B335)&lt;&gt;1,"DUPLICATE_ID","OK")))</x:f>
      </x:c>
      <x:c r="AL335" s="9" t="str">
        <x:f>IF(A335="","",IF(AND(AK335="OK",J335="READY",F335&lt;&gt;"",G335&lt;&gt;"",K335&lt;&gt;"",OR(L335="PASS",L335="FAIL"),M335&lt;&gt;"",P335="social-publication-v2"),"YES","NO"))</x:f>
      </x:c>
      <x:c r="AM335" s="9" t="str">
        <x:f>IF(A335="","",IF(AND(AK335="OK",J335="READY",F335&lt;&gt;"",G335&lt;&gt;"",K335&lt;&gt;"",S335="OK",OR(R335="PASS",R335="FAIL")),"YES","NO"))</x:f>
      </x:c>
      <x:c r="AN335" s="9" t="str">
        <x:f>IF(A335="","",F335&amp;" | "&amp;G335&amp;" | "&amp;H335&amp;" | "&amp;I335)</x:f>
      </x:c>
    </x:row>
    <x:row r="336" ht="33" customHeight="1">
      <x:c r="A336" s="3"/>
      <x:c r="B336" s="3"/>
      <x:c r="C336" s="3"/>
      <x:c r="D336" s="3"/>
      <x:c r="E336" s="3"/>
      <x:c r="F336" s="3"/>
      <x:c r="G336" s="3"/>
      <x:c r="H336" s="3"/>
      <x:c r="I336" s="3"/>
      <x:c r="J336" s="3"/>
      <x:c r="K336" s="3"/>
      <x:c r="L336" s="6"/>
      <x:c r="M336" s="6"/>
      <x:c r="N336" s="6"/>
      <x:c r="O336" s="6"/>
      <x:c r="P336" s="6"/>
      <x:c r="Q336" s="7"/>
      <x:c r="R336" s="7"/>
      <x:c r="S336" s="7"/>
      <x:c r="T336" s="7"/>
      <x:c r="U336" s="7"/>
      <x:c r="V336" s="7"/>
      <x:c r="W336" s="7"/>
      <x:c r="X336" s="7"/>
      <x:c r="Y336" s="7"/>
      <x:c r="Z336" s="7"/>
      <x:c r="AA336" s="7"/>
      <x:c r="AB336" s="7"/>
      <x:c r="AC336" s="7"/>
      <x:c r="AD336" s="7"/>
      <x:c r="AE336" s="3"/>
      <x:c r="AF336" s="3"/>
      <x:c r="AG336" s="3"/>
      <x:c r="AH336" s="3"/>
      <x:c r="AI336" s="3"/>
      <x:c r="AJ336" s="9" t="str">
        <x:f>IF(A336="","",A336&amp;"|"&amp;B336)</x:f>
      </x:c>
      <x:c r="AK336" s="9" t="str">
        <x:f>IF(A336="",IF(B336="","","MISSING_TEST_ID"),IF(B336="","MISSING_RUN_ID",IF(COUNTIFS($A$2:$A$501,A336,$B$2:$B$501,B336)&lt;&gt;1,"DUPLICATE_ID","OK")))</x:f>
      </x:c>
      <x:c r="AL336" s="9" t="str">
        <x:f>IF(A336="","",IF(AND(AK336="OK",J336="READY",F336&lt;&gt;"",G336&lt;&gt;"",K336&lt;&gt;"",OR(L336="PASS",L336="FAIL"),M336&lt;&gt;"",P336="social-publication-v2"),"YES","NO"))</x:f>
      </x:c>
      <x:c r="AM336" s="9" t="str">
        <x:f>IF(A336="","",IF(AND(AK336="OK",J336="READY",F336&lt;&gt;"",G336&lt;&gt;"",K336&lt;&gt;"",S336="OK",OR(R336="PASS",R336="FAIL")),"YES","NO"))</x:f>
      </x:c>
      <x:c r="AN336" s="9" t="str">
        <x:f>IF(A336="","",F336&amp;" | "&amp;G336&amp;" | "&amp;H336&amp;" | "&amp;I336)</x:f>
      </x:c>
    </x:row>
    <x:row r="337" ht="33" customHeight="1">
      <x:c r="A337" s="3"/>
      <x:c r="B337" s="3"/>
      <x:c r="C337" s="3"/>
      <x:c r="D337" s="3"/>
      <x:c r="E337" s="3"/>
      <x:c r="F337" s="3"/>
      <x:c r="G337" s="3"/>
      <x:c r="H337" s="3"/>
      <x:c r="I337" s="3"/>
      <x:c r="J337" s="3"/>
      <x:c r="K337" s="3"/>
      <x:c r="L337" s="6"/>
      <x:c r="M337" s="6"/>
      <x:c r="N337" s="6"/>
      <x:c r="O337" s="6"/>
      <x:c r="P337" s="6"/>
      <x:c r="Q337" s="7"/>
      <x:c r="R337" s="7"/>
      <x:c r="S337" s="7"/>
      <x:c r="T337" s="7"/>
      <x:c r="U337" s="7"/>
      <x:c r="V337" s="7"/>
      <x:c r="W337" s="7"/>
      <x:c r="X337" s="7"/>
      <x:c r="Y337" s="7"/>
      <x:c r="Z337" s="7"/>
      <x:c r="AA337" s="7"/>
      <x:c r="AB337" s="7"/>
      <x:c r="AC337" s="7"/>
      <x:c r="AD337" s="7"/>
      <x:c r="AE337" s="3"/>
      <x:c r="AF337" s="3"/>
      <x:c r="AG337" s="3"/>
      <x:c r="AH337" s="3"/>
      <x:c r="AI337" s="3"/>
      <x:c r="AJ337" s="9" t="str">
        <x:f>IF(A337="","",A337&amp;"|"&amp;B337)</x:f>
      </x:c>
      <x:c r="AK337" s="9" t="str">
        <x:f>IF(A337="",IF(B337="","","MISSING_TEST_ID"),IF(B337="","MISSING_RUN_ID",IF(COUNTIFS($A$2:$A$501,A337,$B$2:$B$501,B337)&lt;&gt;1,"DUPLICATE_ID","OK")))</x:f>
      </x:c>
      <x:c r="AL337" s="9" t="str">
        <x:f>IF(A337="","",IF(AND(AK337="OK",J337="READY",F337&lt;&gt;"",G337&lt;&gt;"",K337&lt;&gt;"",OR(L337="PASS",L337="FAIL"),M337&lt;&gt;"",P337="social-publication-v2"),"YES","NO"))</x:f>
      </x:c>
      <x:c r="AM337" s="9" t="str">
        <x:f>IF(A337="","",IF(AND(AK337="OK",J337="READY",F337&lt;&gt;"",G337&lt;&gt;"",K337&lt;&gt;"",S337="OK",OR(R337="PASS",R337="FAIL")),"YES","NO"))</x:f>
      </x:c>
      <x:c r="AN337" s="9" t="str">
        <x:f>IF(A337="","",F337&amp;" | "&amp;G337&amp;" | "&amp;H337&amp;" | "&amp;I337)</x:f>
      </x:c>
    </x:row>
    <x:row r="338" ht="33" customHeight="1">
      <x:c r="A338" s="3"/>
      <x:c r="B338" s="3"/>
      <x:c r="C338" s="3"/>
      <x:c r="D338" s="3"/>
      <x:c r="E338" s="3"/>
      <x:c r="F338" s="3"/>
      <x:c r="G338" s="3"/>
      <x:c r="H338" s="3"/>
      <x:c r="I338" s="3"/>
      <x:c r="J338" s="3"/>
      <x:c r="K338" s="3"/>
      <x:c r="L338" s="6"/>
      <x:c r="M338" s="6"/>
      <x:c r="N338" s="6"/>
      <x:c r="O338" s="6"/>
      <x:c r="P338" s="6"/>
      <x:c r="Q338" s="7"/>
      <x:c r="R338" s="7"/>
      <x:c r="S338" s="7"/>
      <x:c r="T338" s="7"/>
      <x:c r="U338" s="7"/>
      <x:c r="V338" s="7"/>
      <x:c r="W338" s="7"/>
      <x:c r="X338" s="7"/>
      <x:c r="Y338" s="7"/>
      <x:c r="Z338" s="7"/>
      <x:c r="AA338" s="7"/>
      <x:c r="AB338" s="7"/>
      <x:c r="AC338" s="7"/>
      <x:c r="AD338" s="7"/>
      <x:c r="AE338" s="3"/>
      <x:c r="AF338" s="3"/>
      <x:c r="AG338" s="3"/>
      <x:c r="AH338" s="3"/>
      <x:c r="AI338" s="3"/>
      <x:c r="AJ338" s="9" t="str">
        <x:f>IF(A338="","",A338&amp;"|"&amp;B338)</x:f>
      </x:c>
      <x:c r="AK338" s="9" t="str">
        <x:f>IF(A338="",IF(B338="","","MISSING_TEST_ID"),IF(B338="","MISSING_RUN_ID",IF(COUNTIFS($A$2:$A$501,A338,$B$2:$B$501,B338)&lt;&gt;1,"DUPLICATE_ID","OK")))</x:f>
      </x:c>
      <x:c r="AL338" s="9" t="str">
        <x:f>IF(A338="","",IF(AND(AK338="OK",J338="READY",F338&lt;&gt;"",G338&lt;&gt;"",K338&lt;&gt;"",OR(L338="PASS",L338="FAIL"),M338&lt;&gt;"",P338="social-publication-v2"),"YES","NO"))</x:f>
      </x:c>
      <x:c r="AM338" s="9" t="str">
        <x:f>IF(A338="","",IF(AND(AK338="OK",J338="READY",F338&lt;&gt;"",G338&lt;&gt;"",K338&lt;&gt;"",S338="OK",OR(R338="PASS",R338="FAIL")),"YES","NO"))</x:f>
      </x:c>
      <x:c r="AN338" s="9" t="str">
        <x:f>IF(A338="","",F338&amp;" | "&amp;G338&amp;" | "&amp;H338&amp;" | "&amp;I338)</x:f>
      </x:c>
    </x:row>
    <x:row r="339" ht="33" customHeight="1">
      <x:c r="A339" s="3"/>
      <x:c r="B339" s="3"/>
      <x:c r="C339" s="3"/>
      <x:c r="D339" s="3"/>
      <x:c r="E339" s="3"/>
      <x:c r="F339" s="3"/>
      <x:c r="G339" s="3"/>
      <x:c r="H339" s="3"/>
      <x:c r="I339" s="3"/>
      <x:c r="J339" s="3"/>
      <x:c r="K339" s="3"/>
      <x:c r="L339" s="6"/>
      <x:c r="M339" s="6"/>
      <x:c r="N339" s="6"/>
      <x:c r="O339" s="6"/>
      <x:c r="P339" s="6"/>
      <x:c r="Q339" s="7"/>
      <x:c r="R339" s="7"/>
      <x:c r="S339" s="7"/>
      <x:c r="T339" s="7"/>
      <x:c r="U339" s="7"/>
      <x:c r="V339" s="7"/>
      <x:c r="W339" s="7"/>
      <x:c r="X339" s="7"/>
      <x:c r="Y339" s="7"/>
      <x:c r="Z339" s="7"/>
      <x:c r="AA339" s="7"/>
      <x:c r="AB339" s="7"/>
      <x:c r="AC339" s="7"/>
      <x:c r="AD339" s="7"/>
      <x:c r="AE339" s="3"/>
      <x:c r="AF339" s="3"/>
      <x:c r="AG339" s="3"/>
      <x:c r="AH339" s="3"/>
      <x:c r="AI339" s="3"/>
      <x:c r="AJ339" s="9" t="str">
        <x:f>IF(A339="","",A339&amp;"|"&amp;B339)</x:f>
      </x:c>
      <x:c r="AK339" s="9" t="str">
        <x:f>IF(A339="",IF(B339="","","MISSING_TEST_ID"),IF(B339="","MISSING_RUN_ID",IF(COUNTIFS($A$2:$A$501,A339,$B$2:$B$501,B339)&lt;&gt;1,"DUPLICATE_ID","OK")))</x:f>
      </x:c>
      <x:c r="AL339" s="9" t="str">
        <x:f>IF(A339="","",IF(AND(AK339="OK",J339="READY",F339&lt;&gt;"",G339&lt;&gt;"",K339&lt;&gt;"",OR(L339="PASS",L339="FAIL"),M339&lt;&gt;"",P339="social-publication-v2"),"YES","NO"))</x:f>
      </x:c>
      <x:c r="AM339" s="9" t="str">
        <x:f>IF(A339="","",IF(AND(AK339="OK",J339="READY",F339&lt;&gt;"",G339&lt;&gt;"",K339&lt;&gt;"",S339="OK",OR(R339="PASS",R339="FAIL")),"YES","NO"))</x:f>
      </x:c>
      <x:c r="AN339" s="9" t="str">
        <x:f>IF(A339="","",F339&amp;" | "&amp;G339&amp;" | "&amp;H339&amp;" | "&amp;I339)</x:f>
      </x:c>
    </x:row>
    <x:row r="340" ht="33" customHeight="1">
      <x:c r="A340" s="3"/>
      <x:c r="B340" s="3"/>
      <x:c r="C340" s="3"/>
      <x:c r="D340" s="3"/>
      <x:c r="E340" s="3"/>
      <x:c r="F340" s="3"/>
      <x:c r="G340" s="3"/>
      <x:c r="H340" s="3"/>
      <x:c r="I340" s="3"/>
      <x:c r="J340" s="3"/>
      <x:c r="K340" s="3"/>
      <x:c r="L340" s="6"/>
      <x:c r="M340" s="6"/>
      <x:c r="N340" s="6"/>
      <x:c r="O340" s="6"/>
      <x:c r="P340" s="6"/>
      <x:c r="Q340" s="7"/>
      <x:c r="R340" s="7"/>
      <x:c r="S340" s="7"/>
      <x:c r="T340" s="7"/>
      <x:c r="U340" s="7"/>
      <x:c r="V340" s="7"/>
      <x:c r="W340" s="7"/>
      <x:c r="X340" s="7"/>
      <x:c r="Y340" s="7"/>
      <x:c r="Z340" s="7"/>
      <x:c r="AA340" s="7"/>
      <x:c r="AB340" s="7"/>
      <x:c r="AC340" s="7"/>
      <x:c r="AD340" s="7"/>
      <x:c r="AE340" s="3"/>
      <x:c r="AF340" s="3"/>
      <x:c r="AG340" s="3"/>
      <x:c r="AH340" s="3"/>
      <x:c r="AI340" s="3"/>
      <x:c r="AJ340" s="9" t="str">
        <x:f>IF(A340="","",A340&amp;"|"&amp;B340)</x:f>
      </x:c>
      <x:c r="AK340" s="9" t="str">
        <x:f>IF(A340="",IF(B340="","","MISSING_TEST_ID"),IF(B340="","MISSING_RUN_ID",IF(COUNTIFS($A$2:$A$501,A340,$B$2:$B$501,B340)&lt;&gt;1,"DUPLICATE_ID","OK")))</x:f>
      </x:c>
      <x:c r="AL340" s="9" t="str">
        <x:f>IF(A340="","",IF(AND(AK340="OK",J340="READY",F340&lt;&gt;"",G340&lt;&gt;"",K340&lt;&gt;"",OR(L340="PASS",L340="FAIL"),M340&lt;&gt;"",P340="social-publication-v2"),"YES","NO"))</x:f>
      </x:c>
      <x:c r="AM340" s="9" t="str">
        <x:f>IF(A340="","",IF(AND(AK340="OK",J340="READY",F340&lt;&gt;"",G340&lt;&gt;"",K340&lt;&gt;"",S340="OK",OR(R340="PASS",R340="FAIL")),"YES","NO"))</x:f>
      </x:c>
      <x:c r="AN340" s="9" t="str">
        <x:f>IF(A340="","",F340&amp;" | "&amp;G340&amp;" | "&amp;H340&amp;" | "&amp;I340)</x:f>
      </x:c>
    </x:row>
    <x:row r="341" ht="33" customHeight="1">
      <x:c r="A341" s="3"/>
      <x:c r="B341" s="3"/>
      <x:c r="C341" s="3"/>
      <x:c r="D341" s="3"/>
      <x:c r="E341" s="3"/>
      <x:c r="F341" s="3"/>
      <x:c r="G341" s="3"/>
      <x:c r="H341" s="3"/>
      <x:c r="I341" s="3"/>
      <x:c r="J341" s="3"/>
      <x:c r="K341" s="3"/>
      <x:c r="L341" s="6"/>
      <x:c r="M341" s="6"/>
      <x:c r="N341" s="6"/>
      <x:c r="O341" s="6"/>
      <x:c r="P341" s="6"/>
      <x:c r="Q341" s="7"/>
      <x:c r="R341" s="7"/>
      <x:c r="S341" s="7"/>
      <x:c r="T341" s="7"/>
      <x:c r="U341" s="7"/>
      <x:c r="V341" s="7"/>
      <x:c r="W341" s="7"/>
      <x:c r="X341" s="7"/>
      <x:c r="Y341" s="7"/>
      <x:c r="Z341" s="7"/>
      <x:c r="AA341" s="7"/>
      <x:c r="AB341" s="7"/>
      <x:c r="AC341" s="7"/>
      <x:c r="AD341" s="7"/>
      <x:c r="AE341" s="3"/>
      <x:c r="AF341" s="3"/>
      <x:c r="AG341" s="3"/>
      <x:c r="AH341" s="3"/>
      <x:c r="AI341" s="3"/>
      <x:c r="AJ341" s="9" t="str">
        <x:f>IF(A341="","",A341&amp;"|"&amp;B341)</x:f>
      </x:c>
      <x:c r="AK341" s="9" t="str">
        <x:f>IF(A341="",IF(B341="","","MISSING_TEST_ID"),IF(B341="","MISSING_RUN_ID",IF(COUNTIFS($A$2:$A$501,A341,$B$2:$B$501,B341)&lt;&gt;1,"DUPLICATE_ID","OK")))</x:f>
      </x:c>
      <x:c r="AL341" s="9" t="str">
        <x:f>IF(A341="","",IF(AND(AK341="OK",J341="READY",F341&lt;&gt;"",G341&lt;&gt;"",K341&lt;&gt;"",OR(L341="PASS",L341="FAIL"),M341&lt;&gt;"",P341="social-publication-v2"),"YES","NO"))</x:f>
      </x:c>
      <x:c r="AM341" s="9" t="str">
        <x:f>IF(A341="","",IF(AND(AK341="OK",J341="READY",F341&lt;&gt;"",G341&lt;&gt;"",K341&lt;&gt;"",S341="OK",OR(R341="PASS",R341="FAIL")),"YES","NO"))</x:f>
      </x:c>
      <x:c r="AN341" s="9" t="str">
        <x:f>IF(A341="","",F341&amp;" | "&amp;G341&amp;" | "&amp;H341&amp;" | "&amp;I341)</x:f>
      </x:c>
    </x:row>
    <x:row r="342" ht="33" customHeight="1">
      <x:c r="A342" s="3"/>
      <x:c r="B342" s="3"/>
      <x:c r="C342" s="3"/>
      <x:c r="D342" s="3"/>
      <x:c r="E342" s="3"/>
      <x:c r="F342" s="3"/>
      <x:c r="G342" s="3"/>
      <x:c r="H342" s="3"/>
      <x:c r="I342" s="3"/>
      <x:c r="J342" s="3"/>
      <x:c r="K342" s="3"/>
      <x:c r="L342" s="6"/>
      <x:c r="M342" s="6"/>
      <x:c r="N342" s="6"/>
      <x:c r="O342" s="6"/>
      <x:c r="P342" s="6"/>
      <x:c r="Q342" s="7"/>
      <x:c r="R342" s="7"/>
      <x:c r="S342" s="7"/>
      <x:c r="T342" s="7"/>
      <x:c r="U342" s="7"/>
      <x:c r="V342" s="7"/>
      <x:c r="W342" s="7"/>
      <x:c r="X342" s="7"/>
      <x:c r="Y342" s="7"/>
      <x:c r="Z342" s="7"/>
      <x:c r="AA342" s="7"/>
      <x:c r="AB342" s="7"/>
      <x:c r="AC342" s="7"/>
      <x:c r="AD342" s="7"/>
      <x:c r="AE342" s="3"/>
      <x:c r="AF342" s="3"/>
      <x:c r="AG342" s="3"/>
      <x:c r="AH342" s="3"/>
      <x:c r="AI342" s="3"/>
      <x:c r="AJ342" s="9" t="str">
        <x:f>IF(A342="","",A342&amp;"|"&amp;B342)</x:f>
      </x:c>
      <x:c r="AK342" s="9" t="str">
        <x:f>IF(A342="",IF(B342="","","MISSING_TEST_ID"),IF(B342="","MISSING_RUN_ID",IF(COUNTIFS($A$2:$A$501,A342,$B$2:$B$501,B342)&lt;&gt;1,"DUPLICATE_ID","OK")))</x:f>
      </x:c>
      <x:c r="AL342" s="9" t="str">
        <x:f>IF(A342="","",IF(AND(AK342="OK",J342="READY",F342&lt;&gt;"",G342&lt;&gt;"",K342&lt;&gt;"",OR(L342="PASS",L342="FAIL"),M342&lt;&gt;"",P342="social-publication-v2"),"YES","NO"))</x:f>
      </x:c>
      <x:c r="AM342" s="9" t="str">
        <x:f>IF(A342="","",IF(AND(AK342="OK",J342="READY",F342&lt;&gt;"",G342&lt;&gt;"",K342&lt;&gt;"",S342="OK",OR(R342="PASS",R342="FAIL")),"YES","NO"))</x:f>
      </x:c>
      <x:c r="AN342" s="9" t="str">
        <x:f>IF(A342="","",F342&amp;" | "&amp;G342&amp;" | "&amp;H342&amp;" | "&amp;I342)</x:f>
      </x:c>
    </x:row>
    <x:row r="343" ht="33" customHeight="1">
      <x:c r="A343" s="3"/>
      <x:c r="B343" s="3"/>
      <x:c r="C343" s="3"/>
      <x:c r="D343" s="3"/>
      <x:c r="E343" s="3"/>
      <x:c r="F343" s="3"/>
      <x:c r="G343" s="3"/>
      <x:c r="H343" s="3"/>
      <x:c r="I343" s="3"/>
      <x:c r="J343" s="3"/>
      <x:c r="K343" s="3"/>
      <x:c r="L343" s="6"/>
      <x:c r="M343" s="6"/>
      <x:c r="N343" s="6"/>
      <x:c r="O343" s="6"/>
      <x:c r="P343" s="6"/>
      <x:c r="Q343" s="7"/>
      <x:c r="R343" s="7"/>
      <x:c r="S343" s="7"/>
      <x:c r="T343" s="7"/>
      <x:c r="U343" s="7"/>
      <x:c r="V343" s="7"/>
      <x:c r="W343" s="7"/>
      <x:c r="X343" s="7"/>
      <x:c r="Y343" s="7"/>
      <x:c r="Z343" s="7"/>
      <x:c r="AA343" s="7"/>
      <x:c r="AB343" s="7"/>
      <x:c r="AC343" s="7"/>
      <x:c r="AD343" s="7"/>
      <x:c r="AE343" s="3"/>
      <x:c r="AF343" s="3"/>
      <x:c r="AG343" s="3"/>
      <x:c r="AH343" s="3"/>
      <x:c r="AI343" s="3"/>
      <x:c r="AJ343" s="9" t="str">
        <x:f>IF(A343="","",A343&amp;"|"&amp;B343)</x:f>
      </x:c>
      <x:c r="AK343" s="9" t="str">
        <x:f>IF(A343="",IF(B343="","","MISSING_TEST_ID"),IF(B343="","MISSING_RUN_ID",IF(COUNTIFS($A$2:$A$501,A343,$B$2:$B$501,B343)&lt;&gt;1,"DUPLICATE_ID","OK")))</x:f>
      </x:c>
      <x:c r="AL343" s="9" t="str">
        <x:f>IF(A343="","",IF(AND(AK343="OK",J343="READY",F343&lt;&gt;"",G343&lt;&gt;"",K343&lt;&gt;"",OR(L343="PASS",L343="FAIL"),M343&lt;&gt;"",P343="social-publication-v2"),"YES","NO"))</x:f>
      </x:c>
      <x:c r="AM343" s="9" t="str">
        <x:f>IF(A343="","",IF(AND(AK343="OK",J343="READY",F343&lt;&gt;"",G343&lt;&gt;"",K343&lt;&gt;"",S343="OK",OR(R343="PASS",R343="FAIL")),"YES","NO"))</x:f>
      </x:c>
      <x:c r="AN343" s="9" t="str">
        <x:f>IF(A343="","",F343&amp;" | "&amp;G343&amp;" | "&amp;H343&amp;" | "&amp;I343)</x:f>
      </x:c>
    </x:row>
    <x:row r="344" ht="33" customHeight="1">
      <x:c r="A344" s="3"/>
      <x:c r="B344" s="3"/>
      <x:c r="C344" s="3"/>
      <x:c r="D344" s="3"/>
      <x:c r="E344" s="3"/>
      <x:c r="F344" s="3"/>
      <x:c r="G344" s="3"/>
      <x:c r="H344" s="3"/>
      <x:c r="I344" s="3"/>
      <x:c r="J344" s="3"/>
      <x:c r="K344" s="3"/>
      <x:c r="L344" s="6"/>
      <x:c r="M344" s="6"/>
      <x:c r="N344" s="6"/>
      <x:c r="O344" s="6"/>
      <x:c r="P344" s="6"/>
      <x:c r="Q344" s="7"/>
      <x:c r="R344" s="7"/>
      <x:c r="S344" s="7"/>
      <x:c r="T344" s="7"/>
      <x:c r="U344" s="7"/>
      <x:c r="V344" s="7"/>
      <x:c r="W344" s="7"/>
      <x:c r="X344" s="7"/>
      <x:c r="Y344" s="7"/>
      <x:c r="Z344" s="7"/>
      <x:c r="AA344" s="7"/>
      <x:c r="AB344" s="7"/>
      <x:c r="AC344" s="7"/>
      <x:c r="AD344" s="7"/>
      <x:c r="AE344" s="3"/>
      <x:c r="AF344" s="3"/>
      <x:c r="AG344" s="3"/>
      <x:c r="AH344" s="3"/>
      <x:c r="AI344" s="3"/>
      <x:c r="AJ344" s="9" t="str">
        <x:f>IF(A344="","",A344&amp;"|"&amp;B344)</x:f>
      </x:c>
      <x:c r="AK344" s="9" t="str">
        <x:f>IF(A344="",IF(B344="","","MISSING_TEST_ID"),IF(B344="","MISSING_RUN_ID",IF(COUNTIFS($A$2:$A$501,A344,$B$2:$B$501,B344)&lt;&gt;1,"DUPLICATE_ID","OK")))</x:f>
      </x:c>
      <x:c r="AL344" s="9" t="str">
        <x:f>IF(A344="","",IF(AND(AK344="OK",J344="READY",F344&lt;&gt;"",G344&lt;&gt;"",K344&lt;&gt;"",OR(L344="PASS",L344="FAIL"),M344&lt;&gt;"",P344="social-publication-v2"),"YES","NO"))</x:f>
      </x:c>
      <x:c r="AM344" s="9" t="str">
        <x:f>IF(A344="","",IF(AND(AK344="OK",J344="READY",F344&lt;&gt;"",G344&lt;&gt;"",K344&lt;&gt;"",S344="OK",OR(R344="PASS",R344="FAIL")),"YES","NO"))</x:f>
      </x:c>
      <x:c r="AN344" s="9" t="str">
        <x:f>IF(A344="","",F344&amp;" | "&amp;G344&amp;" | "&amp;H344&amp;" | "&amp;I344)</x:f>
      </x:c>
    </x:row>
    <x:row r="345" ht="33" customHeight="1">
      <x:c r="A345" s="3"/>
      <x:c r="B345" s="3"/>
      <x:c r="C345" s="3"/>
      <x:c r="D345" s="3"/>
      <x:c r="E345" s="3"/>
      <x:c r="F345" s="3"/>
      <x:c r="G345" s="3"/>
      <x:c r="H345" s="3"/>
      <x:c r="I345" s="3"/>
      <x:c r="J345" s="3"/>
      <x:c r="K345" s="3"/>
      <x:c r="L345" s="6"/>
      <x:c r="M345" s="6"/>
      <x:c r="N345" s="6"/>
      <x:c r="O345" s="6"/>
      <x:c r="P345" s="6"/>
      <x:c r="Q345" s="7"/>
      <x:c r="R345" s="7"/>
      <x:c r="S345" s="7"/>
      <x:c r="T345" s="7"/>
      <x:c r="U345" s="7"/>
      <x:c r="V345" s="7"/>
      <x:c r="W345" s="7"/>
      <x:c r="X345" s="7"/>
      <x:c r="Y345" s="7"/>
      <x:c r="Z345" s="7"/>
      <x:c r="AA345" s="7"/>
      <x:c r="AB345" s="7"/>
      <x:c r="AC345" s="7"/>
      <x:c r="AD345" s="7"/>
      <x:c r="AE345" s="3"/>
      <x:c r="AF345" s="3"/>
      <x:c r="AG345" s="3"/>
      <x:c r="AH345" s="3"/>
      <x:c r="AI345" s="3"/>
      <x:c r="AJ345" s="9" t="str">
        <x:f>IF(A345="","",A345&amp;"|"&amp;B345)</x:f>
      </x:c>
      <x:c r="AK345" s="9" t="str">
        <x:f>IF(A345="",IF(B345="","","MISSING_TEST_ID"),IF(B345="","MISSING_RUN_ID",IF(COUNTIFS($A$2:$A$501,A345,$B$2:$B$501,B345)&lt;&gt;1,"DUPLICATE_ID","OK")))</x:f>
      </x:c>
      <x:c r="AL345" s="9" t="str">
        <x:f>IF(A345="","",IF(AND(AK345="OK",J345="READY",F345&lt;&gt;"",G345&lt;&gt;"",K345&lt;&gt;"",OR(L345="PASS",L345="FAIL"),M345&lt;&gt;"",P345="social-publication-v2"),"YES","NO"))</x:f>
      </x:c>
      <x:c r="AM345" s="9" t="str">
        <x:f>IF(A345="","",IF(AND(AK345="OK",J345="READY",F345&lt;&gt;"",G345&lt;&gt;"",K345&lt;&gt;"",S345="OK",OR(R345="PASS",R345="FAIL")),"YES","NO"))</x:f>
      </x:c>
      <x:c r="AN345" s="9" t="str">
        <x:f>IF(A345="","",F345&amp;" | "&amp;G345&amp;" | "&amp;H345&amp;" | "&amp;I345)</x:f>
      </x:c>
    </x:row>
    <x:row r="346" ht="33" customHeight="1">
      <x:c r="A346" s="3"/>
      <x:c r="B346" s="3"/>
      <x:c r="C346" s="3"/>
      <x:c r="D346" s="3"/>
      <x:c r="E346" s="3"/>
      <x:c r="F346" s="3"/>
      <x:c r="G346" s="3"/>
      <x:c r="H346" s="3"/>
      <x:c r="I346" s="3"/>
      <x:c r="J346" s="3"/>
      <x:c r="K346" s="3"/>
      <x:c r="L346" s="6"/>
      <x:c r="M346" s="6"/>
      <x:c r="N346" s="6"/>
      <x:c r="O346" s="6"/>
      <x:c r="P346" s="6"/>
      <x:c r="Q346" s="7"/>
      <x:c r="R346" s="7"/>
      <x:c r="S346" s="7"/>
      <x:c r="T346" s="7"/>
      <x:c r="U346" s="7"/>
      <x:c r="V346" s="7"/>
      <x:c r="W346" s="7"/>
      <x:c r="X346" s="7"/>
      <x:c r="Y346" s="7"/>
      <x:c r="Z346" s="7"/>
      <x:c r="AA346" s="7"/>
      <x:c r="AB346" s="7"/>
      <x:c r="AC346" s="7"/>
      <x:c r="AD346" s="7"/>
      <x:c r="AE346" s="3"/>
      <x:c r="AF346" s="3"/>
      <x:c r="AG346" s="3"/>
      <x:c r="AH346" s="3"/>
      <x:c r="AI346" s="3"/>
      <x:c r="AJ346" s="9" t="str">
        <x:f>IF(A346="","",A346&amp;"|"&amp;B346)</x:f>
      </x:c>
      <x:c r="AK346" s="9" t="str">
        <x:f>IF(A346="",IF(B346="","","MISSING_TEST_ID"),IF(B346="","MISSING_RUN_ID",IF(COUNTIFS($A$2:$A$501,A346,$B$2:$B$501,B346)&lt;&gt;1,"DUPLICATE_ID","OK")))</x:f>
      </x:c>
      <x:c r="AL346" s="9" t="str">
        <x:f>IF(A346="","",IF(AND(AK346="OK",J346="READY",F346&lt;&gt;"",G346&lt;&gt;"",K346&lt;&gt;"",OR(L346="PASS",L346="FAIL"),M346&lt;&gt;"",P346="social-publication-v2"),"YES","NO"))</x:f>
      </x:c>
      <x:c r="AM346" s="9" t="str">
        <x:f>IF(A346="","",IF(AND(AK346="OK",J346="READY",F346&lt;&gt;"",G346&lt;&gt;"",K346&lt;&gt;"",S346="OK",OR(R346="PASS",R346="FAIL")),"YES","NO"))</x:f>
      </x:c>
      <x:c r="AN346" s="9" t="str">
        <x:f>IF(A346="","",F346&amp;" | "&amp;G346&amp;" | "&amp;H346&amp;" | "&amp;I346)</x:f>
      </x:c>
    </x:row>
    <x:row r="347" ht="33" customHeight="1">
      <x:c r="A347" s="3"/>
      <x:c r="B347" s="3"/>
      <x:c r="C347" s="3"/>
      <x:c r="D347" s="3"/>
      <x:c r="E347" s="3"/>
      <x:c r="F347" s="3"/>
      <x:c r="G347" s="3"/>
      <x:c r="H347" s="3"/>
      <x:c r="I347" s="3"/>
      <x:c r="J347" s="3"/>
      <x:c r="K347" s="3"/>
      <x:c r="L347" s="6"/>
      <x:c r="M347" s="6"/>
      <x:c r="N347" s="6"/>
      <x:c r="O347" s="6"/>
      <x:c r="P347" s="6"/>
      <x:c r="Q347" s="7"/>
      <x:c r="R347" s="7"/>
      <x:c r="S347" s="7"/>
      <x:c r="T347" s="7"/>
      <x:c r="U347" s="7"/>
      <x:c r="V347" s="7"/>
      <x:c r="W347" s="7"/>
      <x:c r="X347" s="7"/>
      <x:c r="Y347" s="7"/>
      <x:c r="Z347" s="7"/>
      <x:c r="AA347" s="7"/>
      <x:c r="AB347" s="7"/>
      <x:c r="AC347" s="7"/>
      <x:c r="AD347" s="7"/>
      <x:c r="AE347" s="3"/>
      <x:c r="AF347" s="3"/>
      <x:c r="AG347" s="3"/>
      <x:c r="AH347" s="3"/>
      <x:c r="AI347" s="3"/>
      <x:c r="AJ347" s="9" t="str">
        <x:f>IF(A347="","",A347&amp;"|"&amp;B347)</x:f>
      </x:c>
      <x:c r="AK347" s="9" t="str">
        <x:f>IF(A347="",IF(B347="","","MISSING_TEST_ID"),IF(B347="","MISSING_RUN_ID",IF(COUNTIFS($A$2:$A$501,A347,$B$2:$B$501,B347)&lt;&gt;1,"DUPLICATE_ID","OK")))</x:f>
      </x:c>
      <x:c r="AL347" s="9" t="str">
        <x:f>IF(A347="","",IF(AND(AK347="OK",J347="READY",F347&lt;&gt;"",G347&lt;&gt;"",K347&lt;&gt;"",OR(L347="PASS",L347="FAIL"),M347&lt;&gt;"",P347="social-publication-v2"),"YES","NO"))</x:f>
      </x:c>
      <x:c r="AM347" s="9" t="str">
        <x:f>IF(A347="","",IF(AND(AK347="OK",J347="READY",F347&lt;&gt;"",G347&lt;&gt;"",K347&lt;&gt;"",S347="OK",OR(R347="PASS",R347="FAIL")),"YES","NO"))</x:f>
      </x:c>
      <x:c r="AN347" s="9" t="str">
        <x:f>IF(A347="","",F347&amp;" | "&amp;G347&amp;" | "&amp;H347&amp;" | "&amp;I347)</x:f>
      </x:c>
    </x:row>
    <x:row r="348" ht="33" customHeight="1">
      <x:c r="A348" s="3"/>
      <x:c r="B348" s="3"/>
      <x:c r="C348" s="3"/>
      <x:c r="D348" s="3"/>
      <x:c r="E348" s="3"/>
      <x:c r="F348" s="3"/>
      <x:c r="G348" s="3"/>
      <x:c r="H348" s="3"/>
      <x:c r="I348" s="3"/>
      <x:c r="J348" s="3"/>
      <x:c r="K348" s="3"/>
      <x:c r="L348" s="6"/>
      <x:c r="M348" s="6"/>
      <x:c r="N348" s="6"/>
      <x:c r="O348" s="6"/>
      <x:c r="P348" s="6"/>
      <x:c r="Q348" s="7"/>
      <x:c r="R348" s="7"/>
      <x:c r="S348" s="7"/>
      <x:c r="T348" s="7"/>
      <x:c r="U348" s="7"/>
      <x:c r="V348" s="7"/>
      <x:c r="W348" s="7"/>
      <x:c r="X348" s="7"/>
      <x:c r="Y348" s="7"/>
      <x:c r="Z348" s="7"/>
      <x:c r="AA348" s="7"/>
      <x:c r="AB348" s="7"/>
      <x:c r="AC348" s="7"/>
      <x:c r="AD348" s="7"/>
      <x:c r="AE348" s="3"/>
      <x:c r="AF348" s="3"/>
      <x:c r="AG348" s="3"/>
      <x:c r="AH348" s="3"/>
      <x:c r="AI348" s="3"/>
      <x:c r="AJ348" s="9" t="str">
        <x:f>IF(A348="","",A348&amp;"|"&amp;B348)</x:f>
      </x:c>
      <x:c r="AK348" s="9" t="str">
        <x:f>IF(A348="",IF(B348="","","MISSING_TEST_ID"),IF(B348="","MISSING_RUN_ID",IF(COUNTIFS($A$2:$A$501,A348,$B$2:$B$501,B348)&lt;&gt;1,"DUPLICATE_ID","OK")))</x:f>
      </x:c>
      <x:c r="AL348" s="9" t="str">
        <x:f>IF(A348="","",IF(AND(AK348="OK",J348="READY",F348&lt;&gt;"",G348&lt;&gt;"",K348&lt;&gt;"",OR(L348="PASS",L348="FAIL"),M348&lt;&gt;"",P348="social-publication-v2"),"YES","NO"))</x:f>
      </x:c>
      <x:c r="AM348" s="9" t="str">
        <x:f>IF(A348="","",IF(AND(AK348="OK",J348="READY",F348&lt;&gt;"",G348&lt;&gt;"",K348&lt;&gt;"",S348="OK",OR(R348="PASS",R348="FAIL")),"YES","NO"))</x:f>
      </x:c>
      <x:c r="AN348" s="9" t="str">
        <x:f>IF(A348="","",F348&amp;" | "&amp;G348&amp;" | "&amp;H348&amp;" | "&amp;I348)</x:f>
      </x:c>
    </x:row>
    <x:row r="349" ht="33" customHeight="1">
      <x:c r="A349" s="3"/>
      <x:c r="B349" s="3"/>
      <x:c r="C349" s="3"/>
      <x:c r="D349" s="3"/>
      <x:c r="E349" s="3"/>
      <x:c r="F349" s="3"/>
      <x:c r="G349" s="3"/>
      <x:c r="H349" s="3"/>
      <x:c r="I349" s="3"/>
      <x:c r="J349" s="3"/>
      <x:c r="K349" s="3"/>
      <x:c r="L349" s="6"/>
      <x:c r="M349" s="6"/>
      <x:c r="N349" s="6"/>
      <x:c r="O349" s="6"/>
      <x:c r="P349" s="6"/>
      <x:c r="Q349" s="7"/>
      <x:c r="R349" s="7"/>
      <x:c r="S349" s="7"/>
      <x:c r="T349" s="7"/>
      <x:c r="U349" s="7"/>
      <x:c r="V349" s="7"/>
      <x:c r="W349" s="7"/>
      <x:c r="X349" s="7"/>
      <x:c r="Y349" s="7"/>
      <x:c r="Z349" s="7"/>
      <x:c r="AA349" s="7"/>
      <x:c r="AB349" s="7"/>
      <x:c r="AC349" s="7"/>
      <x:c r="AD349" s="7"/>
      <x:c r="AE349" s="3"/>
      <x:c r="AF349" s="3"/>
      <x:c r="AG349" s="3"/>
      <x:c r="AH349" s="3"/>
      <x:c r="AI349" s="3"/>
      <x:c r="AJ349" s="9" t="str">
        <x:f>IF(A349="","",A349&amp;"|"&amp;B349)</x:f>
      </x:c>
      <x:c r="AK349" s="9" t="str">
        <x:f>IF(A349="",IF(B349="","","MISSING_TEST_ID"),IF(B349="","MISSING_RUN_ID",IF(COUNTIFS($A$2:$A$501,A349,$B$2:$B$501,B349)&lt;&gt;1,"DUPLICATE_ID","OK")))</x:f>
      </x:c>
      <x:c r="AL349" s="9" t="str">
        <x:f>IF(A349="","",IF(AND(AK349="OK",J349="READY",F349&lt;&gt;"",G349&lt;&gt;"",K349&lt;&gt;"",OR(L349="PASS",L349="FAIL"),M349&lt;&gt;"",P349="social-publication-v2"),"YES","NO"))</x:f>
      </x:c>
      <x:c r="AM349" s="9" t="str">
        <x:f>IF(A349="","",IF(AND(AK349="OK",J349="READY",F349&lt;&gt;"",G349&lt;&gt;"",K349&lt;&gt;"",S349="OK",OR(R349="PASS",R349="FAIL")),"YES","NO"))</x:f>
      </x:c>
      <x:c r="AN349" s="9" t="str">
        <x:f>IF(A349="","",F349&amp;" | "&amp;G349&amp;" | "&amp;H349&amp;" | "&amp;I349)</x:f>
      </x:c>
    </x:row>
    <x:row r="350" ht="33" customHeight="1">
      <x:c r="A350" s="3"/>
      <x:c r="B350" s="3"/>
      <x:c r="C350" s="3"/>
      <x:c r="D350" s="3"/>
      <x:c r="E350" s="3"/>
      <x:c r="F350" s="3"/>
      <x:c r="G350" s="3"/>
      <x:c r="H350" s="3"/>
      <x:c r="I350" s="3"/>
      <x:c r="J350" s="3"/>
      <x:c r="K350" s="3"/>
      <x:c r="L350" s="6"/>
      <x:c r="M350" s="6"/>
      <x:c r="N350" s="6"/>
      <x:c r="O350" s="6"/>
      <x:c r="P350" s="6"/>
      <x:c r="Q350" s="7"/>
      <x:c r="R350" s="7"/>
      <x:c r="S350" s="7"/>
      <x:c r="T350" s="7"/>
      <x:c r="U350" s="7"/>
      <x:c r="V350" s="7"/>
      <x:c r="W350" s="7"/>
      <x:c r="X350" s="7"/>
      <x:c r="Y350" s="7"/>
      <x:c r="Z350" s="7"/>
      <x:c r="AA350" s="7"/>
      <x:c r="AB350" s="7"/>
      <x:c r="AC350" s="7"/>
      <x:c r="AD350" s="7"/>
      <x:c r="AE350" s="3"/>
      <x:c r="AF350" s="3"/>
      <x:c r="AG350" s="3"/>
      <x:c r="AH350" s="3"/>
      <x:c r="AI350" s="3"/>
      <x:c r="AJ350" s="9" t="str">
        <x:f>IF(A350="","",A350&amp;"|"&amp;B350)</x:f>
      </x:c>
      <x:c r="AK350" s="9" t="str">
        <x:f>IF(A350="",IF(B350="","","MISSING_TEST_ID"),IF(B350="","MISSING_RUN_ID",IF(COUNTIFS($A$2:$A$501,A350,$B$2:$B$501,B350)&lt;&gt;1,"DUPLICATE_ID","OK")))</x:f>
      </x:c>
      <x:c r="AL350" s="9" t="str">
        <x:f>IF(A350="","",IF(AND(AK350="OK",J350="READY",F350&lt;&gt;"",G350&lt;&gt;"",K350&lt;&gt;"",OR(L350="PASS",L350="FAIL"),M350&lt;&gt;"",P350="social-publication-v2"),"YES","NO"))</x:f>
      </x:c>
      <x:c r="AM350" s="9" t="str">
        <x:f>IF(A350="","",IF(AND(AK350="OK",J350="READY",F350&lt;&gt;"",G350&lt;&gt;"",K350&lt;&gt;"",S350="OK",OR(R350="PASS",R350="FAIL")),"YES","NO"))</x:f>
      </x:c>
      <x:c r="AN350" s="9" t="str">
        <x:f>IF(A350="","",F350&amp;" | "&amp;G350&amp;" | "&amp;H350&amp;" | "&amp;I350)</x:f>
      </x:c>
    </x:row>
    <x:row r="351" ht="33" customHeight="1">
      <x:c r="A351" s="3"/>
      <x:c r="B351" s="3"/>
      <x:c r="C351" s="3"/>
      <x:c r="D351" s="3"/>
      <x:c r="E351" s="3"/>
      <x:c r="F351" s="3"/>
      <x:c r="G351" s="3"/>
      <x:c r="H351" s="3"/>
      <x:c r="I351" s="3"/>
      <x:c r="J351" s="3"/>
      <x:c r="K351" s="3"/>
      <x:c r="L351" s="6"/>
      <x:c r="M351" s="6"/>
      <x:c r="N351" s="6"/>
      <x:c r="O351" s="6"/>
      <x:c r="P351" s="6"/>
      <x:c r="Q351" s="7"/>
      <x:c r="R351" s="7"/>
      <x:c r="S351" s="7"/>
      <x:c r="T351" s="7"/>
      <x:c r="U351" s="7"/>
      <x:c r="V351" s="7"/>
      <x:c r="W351" s="7"/>
      <x:c r="X351" s="7"/>
      <x:c r="Y351" s="7"/>
      <x:c r="Z351" s="7"/>
      <x:c r="AA351" s="7"/>
      <x:c r="AB351" s="7"/>
      <x:c r="AC351" s="7"/>
      <x:c r="AD351" s="7"/>
      <x:c r="AE351" s="3"/>
      <x:c r="AF351" s="3"/>
      <x:c r="AG351" s="3"/>
      <x:c r="AH351" s="3"/>
      <x:c r="AI351" s="3"/>
      <x:c r="AJ351" s="9" t="str">
        <x:f>IF(A351="","",A351&amp;"|"&amp;B351)</x:f>
      </x:c>
      <x:c r="AK351" s="9" t="str">
        <x:f>IF(A351="",IF(B351="","","MISSING_TEST_ID"),IF(B351="","MISSING_RUN_ID",IF(COUNTIFS($A$2:$A$501,A351,$B$2:$B$501,B351)&lt;&gt;1,"DUPLICATE_ID","OK")))</x:f>
      </x:c>
      <x:c r="AL351" s="9" t="str">
        <x:f>IF(A351="","",IF(AND(AK351="OK",J351="READY",F351&lt;&gt;"",G351&lt;&gt;"",K351&lt;&gt;"",OR(L351="PASS",L351="FAIL"),M351&lt;&gt;"",P351="social-publication-v2"),"YES","NO"))</x:f>
      </x:c>
      <x:c r="AM351" s="9" t="str">
        <x:f>IF(A351="","",IF(AND(AK351="OK",J351="READY",F351&lt;&gt;"",G351&lt;&gt;"",K351&lt;&gt;"",S351="OK",OR(R351="PASS",R351="FAIL")),"YES","NO"))</x:f>
      </x:c>
      <x:c r="AN351" s="9" t="str">
        <x:f>IF(A351="","",F351&amp;" | "&amp;G351&amp;" | "&amp;H351&amp;" | "&amp;I351)</x:f>
      </x:c>
    </x:row>
    <x:row r="352" ht="33" customHeight="1">
      <x:c r="A352" s="3"/>
      <x:c r="B352" s="3"/>
      <x:c r="C352" s="3"/>
      <x:c r="D352" s="3"/>
      <x:c r="E352" s="3"/>
      <x:c r="F352" s="3"/>
      <x:c r="G352" s="3"/>
      <x:c r="H352" s="3"/>
      <x:c r="I352" s="3"/>
      <x:c r="J352" s="3"/>
      <x:c r="K352" s="3"/>
      <x:c r="L352" s="6"/>
      <x:c r="M352" s="6"/>
      <x:c r="N352" s="6"/>
      <x:c r="O352" s="6"/>
      <x:c r="P352" s="6"/>
      <x:c r="Q352" s="7"/>
      <x:c r="R352" s="7"/>
      <x:c r="S352" s="7"/>
      <x:c r="T352" s="7"/>
      <x:c r="U352" s="7"/>
      <x:c r="V352" s="7"/>
      <x:c r="W352" s="7"/>
      <x:c r="X352" s="7"/>
      <x:c r="Y352" s="7"/>
      <x:c r="Z352" s="7"/>
      <x:c r="AA352" s="7"/>
      <x:c r="AB352" s="7"/>
      <x:c r="AC352" s="7"/>
      <x:c r="AD352" s="7"/>
      <x:c r="AE352" s="3"/>
      <x:c r="AF352" s="3"/>
      <x:c r="AG352" s="3"/>
      <x:c r="AH352" s="3"/>
      <x:c r="AI352" s="3"/>
      <x:c r="AJ352" s="9" t="str">
        <x:f>IF(A352="","",A352&amp;"|"&amp;B352)</x:f>
      </x:c>
      <x:c r="AK352" s="9" t="str">
        <x:f>IF(A352="",IF(B352="","","MISSING_TEST_ID"),IF(B352="","MISSING_RUN_ID",IF(COUNTIFS($A$2:$A$501,A352,$B$2:$B$501,B352)&lt;&gt;1,"DUPLICATE_ID","OK")))</x:f>
      </x:c>
      <x:c r="AL352" s="9" t="str">
        <x:f>IF(A352="","",IF(AND(AK352="OK",J352="READY",F352&lt;&gt;"",G352&lt;&gt;"",K352&lt;&gt;"",OR(L352="PASS",L352="FAIL"),M352&lt;&gt;"",P352="social-publication-v2"),"YES","NO"))</x:f>
      </x:c>
      <x:c r="AM352" s="9" t="str">
        <x:f>IF(A352="","",IF(AND(AK352="OK",J352="READY",F352&lt;&gt;"",G352&lt;&gt;"",K352&lt;&gt;"",S352="OK",OR(R352="PASS",R352="FAIL")),"YES","NO"))</x:f>
      </x:c>
      <x:c r="AN352" s="9" t="str">
        <x:f>IF(A352="","",F352&amp;" | "&amp;G352&amp;" | "&amp;H352&amp;" | "&amp;I352)</x:f>
      </x:c>
    </x:row>
    <x:row r="353" ht="33" customHeight="1">
      <x:c r="A353" s="3"/>
      <x:c r="B353" s="3"/>
      <x:c r="C353" s="3"/>
      <x:c r="D353" s="3"/>
      <x:c r="E353" s="3"/>
      <x:c r="F353" s="3"/>
      <x:c r="G353" s="3"/>
      <x:c r="H353" s="3"/>
      <x:c r="I353" s="3"/>
      <x:c r="J353" s="3"/>
      <x:c r="K353" s="3"/>
      <x:c r="L353" s="6"/>
      <x:c r="M353" s="6"/>
      <x:c r="N353" s="6"/>
      <x:c r="O353" s="6"/>
      <x:c r="P353" s="6"/>
      <x:c r="Q353" s="7"/>
      <x:c r="R353" s="7"/>
      <x:c r="S353" s="7"/>
      <x:c r="T353" s="7"/>
      <x:c r="U353" s="7"/>
      <x:c r="V353" s="7"/>
      <x:c r="W353" s="7"/>
      <x:c r="X353" s="7"/>
      <x:c r="Y353" s="7"/>
      <x:c r="Z353" s="7"/>
      <x:c r="AA353" s="7"/>
      <x:c r="AB353" s="7"/>
      <x:c r="AC353" s="7"/>
      <x:c r="AD353" s="7"/>
      <x:c r="AE353" s="3"/>
      <x:c r="AF353" s="3"/>
      <x:c r="AG353" s="3"/>
      <x:c r="AH353" s="3"/>
      <x:c r="AI353" s="3"/>
      <x:c r="AJ353" s="9" t="str">
        <x:f>IF(A353="","",A353&amp;"|"&amp;B353)</x:f>
      </x:c>
      <x:c r="AK353" s="9" t="str">
        <x:f>IF(A353="",IF(B353="","","MISSING_TEST_ID"),IF(B353="","MISSING_RUN_ID",IF(COUNTIFS($A$2:$A$501,A353,$B$2:$B$501,B353)&lt;&gt;1,"DUPLICATE_ID","OK")))</x:f>
      </x:c>
      <x:c r="AL353" s="9" t="str">
        <x:f>IF(A353="","",IF(AND(AK353="OK",J353="READY",F353&lt;&gt;"",G353&lt;&gt;"",K353&lt;&gt;"",OR(L353="PASS",L353="FAIL"),M353&lt;&gt;"",P353="social-publication-v2"),"YES","NO"))</x:f>
      </x:c>
      <x:c r="AM353" s="9" t="str">
        <x:f>IF(A353="","",IF(AND(AK353="OK",J353="READY",F353&lt;&gt;"",G353&lt;&gt;"",K353&lt;&gt;"",S353="OK",OR(R353="PASS",R353="FAIL")),"YES","NO"))</x:f>
      </x:c>
      <x:c r="AN353" s="9" t="str">
        <x:f>IF(A353="","",F353&amp;" | "&amp;G353&amp;" | "&amp;H353&amp;" | "&amp;I353)</x:f>
      </x:c>
    </x:row>
    <x:row r="354" ht="33" customHeight="1">
      <x:c r="A354" s="3"/>
      <x:c r="B354" s="3"/>
      <x:c r="C354" s="3"/>
      <x:c r="D354" s="3"/>
      <x:c r="E354" s="3"/>
      <x:c r="F354" s="3"/>
      <x:c r="G354" s="3"/>
      <x:c r="H354" s="3"/>
      <x:c r="I354" s="3"/>
      <x:c r="J354" s="3"/>
      <x:c r="K354" s="3"/>
      <x:c r="L354" s="6"/>
      <x:c r="M354" s="6"/>
      <x:c r="N354" s="6"/>
      <x:c r="O354" s="6"/>
      <x:c r="P354" s="6"/>
      <x:c r="Q354" s="7"/>
      <x:c r="R354" s="7"/>
      <x:c r="S354" s="7"/>
      <x:c r="T354" s="7"/>
      <x:c r="U354" s="7"/>
      <x:c r="V354" s="7"/>
      <x:c r="W354" s="7"/>
      <x:c r="X354" s="7"/>
      <x:c r="Y354" s="7"/>
      <x:c r="Z354" s="7"/>
      <x:c r="AA354" s="7"/>
      <x:c r="AB354" s="7"/>
      <x:c r="AC354" s="7"/>
      <x:c r="AD354" s="7"/>
      <x:c r="AE354" s="3"/>
      <x:c r="AF354" s="3"/>
      <x:c r="AG354" s="3"/>
      <x:c r="AH354" s="3"/>
      <x:c r="AI354" s="3"/>
      <x:c r="AJ354" s="9" t="str">
        <x:f>IF(A354="","",A354&amp;"|"&amp;B354)</x:f>
      </x:c>
      <x:c r="AK354" s="9" t="str">
        <x:f>IF(A354="",IF(B354="","","MISSING_TEST_ID"),IF(B354="","MISSING_RUN_ID",IF(COUNTIFS($A$2:$A$501,A354,$B$2:$B$501,B354)&lt;&gt;1,"DUPLICATE_ID","OK")))</x:f>
      </x:c>
      <x:c r="AL354" s="9" t="str">
        <x:f>IF(A354="","",IF(AND(AK354="OK",J354="READY",F354&lt;&gt;"",G354&lt;&gt;"",K354&lt;&gt;"",OR(L354="PASS",L354="FAIL"),M354&lt;&gt;"",P354="social-publication-v2"),"YES","NO"))</x:f>
      </x:c>
      <x:c r="AM354" s="9" t="str">
        <x:f>IF(A354="","",IF(AND(AK354="OK",J354="READY",F354&lt;&gt;"",G354&lt;&gt;"",K354&lt;&gt;"",S354="OK",OR(R354="PASS",R354="FAIL")),"YES","NO"))</x:f>
      </x:c>
      <x:c r="AN354" s="9" t="str">
        <x:f>IF(A354="","",F354&amp;" | "&amp;G354&amp;" | "&amp;H354&amp;" | "&amp;I354)</x:f>
      </x:c>
    </x:row>
    <x:row r="355" ht="33" customHeight="1">
      <x:c r="A355" s="3"/>
      <x:c r="B355" s="3"/>
      <x:c r="C355" s="3"/>
      <x:c r="D355" s="3"/>
      <x:c r="E355" s="3"/>
      <x:c r="F355" s="3"/>
      <x:c r="G355" s="3"/>
      <x:c r="H355" s="3"/>
      <x:c r="I355" s="3"/>
      <x:c r="J355" s="3"/>
      <x:c r="K355" s="3"/>
      <x:c r="L355" s="6"/>
      <x:c r="M355" s="6"/>
      <x:c r="N355" s="6"/>
      <x:c r="O355" s="6"/>
      <x:c r="P355" s="6"/>
      <x:c r="Q355" s="7"/>
      <x:c r="R355" s="7"/>
      <x:c r="S355" s="7"/>
      <x:c r="T355" s="7"/>
      <x:c r="U355" s="7"/>
      <x:c r="V355" s="7"/>
      <x:c r="W355" s="7"/>
      <x:c r="X355" s="7"/>
      <x:c r="Y355" s="7"/>
      <x:c r="Z355" s="7"/>
      <x:c r="AA355" s="7"/>
      <x:c r="AB355" s="7"/>
      <x:c r="AC355" s="7"/>
      <x:c r="AD355" s="7"/>
      <x:c r="AE355" s="3"/>
      <x:c r="AF355" s="3"/>
      <x:c r="AG355" s="3"/>
      <x:c r="AH355" s="3"/>
      <x:c r="AI355" s="3"/>
      <x:c r="AJ355" s="9" t="str">
        <x:f>IF(A355="","",A355&amp;"|"&amp;B355)</x:f>
      </x:c>
      <x:c r="AK355" s="9" t="str">
        <x:f>IF(A355="",IF(B355="","","MISSING_TEST_ID"),IF(B355="","MISSING_RUN_ID",IF(COUNTIFS($A$2:$A$501,A355,$B$2:$B$501,B355)&lt;&gt;1,"DUPLICATE_ID","OK")))</x:f>
      </x:c>
      <x:c r="AL355" s="9" t="str">
        <x:f>IF(A355="","",IF(AND(AK355="OK",J355="READY",F355&lt;&gt;"",G355&lt;&gt;"",K355&lt;&gt;"",OR(L355="PASS",L355="FAIL"),M355&lt;&gt;"",P355="social-publication-v2"),"YES","NO"))</x:f>
      </x:c>
      <x:c r="AM355" s="9" t="str">
        <x:f>IF(A355="","",IF(AND(AK355="OK",J355="READY",F355&lt;&gt;"",G355&lt;&gt;"",K355&lt;&gt;"",S355="OK",OR(R355="PASS",R355="FAIL")),"YES","NO"))</x:f>
      </x:c>
      <x:c r="AN355" s="9" t="str">
        <x:f>IF(A355="","",F355&amp;" | "&amp;G355&amp;" | "&amp;H355&amp;" | "&amp;I355)</x:f>
      </x:c>
    </x:row>
    <x:row r="356" ht="33" customHeight="1">
      <x:c r="A356" s="3"/>
      <x:c r="B356" s="3"/>
      <x:c r="C356" s="3"/>
      <x:c r="D356" s="3"/>
      <x:c r="E356" s="3"/>
      <x:c r="F356" s="3"/>
      <x:c r="G356" s="3"/>
      <x:c r="H356" s="3"/>
      <x:c r="I356" s="3"/>
      <x:c r="J356" s="3"/>
      <x:c r="K356" s="3"/>
      <x:c r="L356" s="6"/>
      <x:c r="M356" s="6"/>
      <x:c r="N356" s="6"/>
      <x:c r="O356" s="6"/>
      <x:c r="P356" s="6"/>
      <x:c r="Q356" s="7"/>
      <x:c r="R356" s="7"/>
      <x:c r="S356" s="7"/>
      <x:c r="T356" s="7"/>
      <x:c r="U356" s="7"/>
      <x:c r="V356" s="7"/>
      <x:c r="W356" s="7"/>
      <x:c r="X356" s="7"/>
      <x:c r="Y356" s="7"/>
      <x:c r="Z356" s="7"/>
      <x:c r="AA356" s="7"/>
      <x:c r="AB356" s="7"/>
      <x:c r="AC356" s="7"/>
      <x:c r="AD356" s="7"/>
      <x:c r="AE356" s="3"/>
      <x:c r="AF356" s="3"/>
      <x:c r="AG356" s="3"/>
      <x:c r="AH356" s="3"/>
      <x:c r="AI356" s="3"/>
      <x:c r="AJ356" s="9" t="str">
        <x:f>IF(A356="","",A356&amp;"|"&amp;B356)</x:f>
      </x:c>
      <x:c r="AK356" s="9" t="str">
        <x:f>IF(A356="",IF(B356="","","MISSING_TEST_ID"),IF(B356="","MISSING_RUN_ID",IF(COUNTIFS($A$2:$A$501,A356,$B$2:$B$501,B356)&lt;&gt;1,"DUPLICATE_ID","OK")))</x:f>
      </x:c>
      <x:c r="AL356" s="9" t="str">
        <x:f>IF(A356="","",IF(AND(AK356="OK",J356="READY",F356&lt;&gt;"",G356&lt;&gt;"",K356&lt;&gt;"",OR(L356="PASS",L356="FAIL"),M356&lt;&gt;"",P356="social-publication-v2"),"YES","NO"))</x:f>
      </x:c>
      <x:c r="AM356" s="9" t="str">
        <x:f>IF(A356="","",IF(AND(AK356="OK",J356="READY",F356&lt;&gt;"",G356&lt;&gt;"",K356&lt;&gt;"",S356="OK",OR(R356="PASS",R356="FAIL")),"YES","NO"))</x:f>
      </x:c>
      <x:c r="AN356" s="9" t="str">
        <x:f>IF(A356="","",F356&amp;" | "&amp;G356&amp;" | "&amp;H356&amp;" | "&amp;I356)</x:f>
      </x:c>
    </x:row>
    <x:row r="357" ht="33" customHeight="1">
      <x:c r="A357" s="3"/>
      <x:c r="B357" s="3"/>
      <x:c r="C357" s="3"/>
      <x:c r="D357" s="3"/>
      <x:c r="E357" s="3"/>
      <x:c r="F357" s="3"/>
      <x:c r="G357" s="3"/>
      <x:c r="H357" s="3"/>
      <x:c r="I357" s="3"/>
      <x:c r="J357" s="3"/>
      <x:c r="K357" s="3"/>
      <x:c r="L357" s="6"/>
      <x:c r="M357" s="6"/>
      <x:c r="N357" s="6"/>
      <x:c r="O357" s="6"/>
      <x:c r="P357" s="6"/>
      <x:c r="Q357" s="7"/>
      <x:c r="R357" s="7"/>
      <x:c r="S357" s="7"/>
      <x:c r="T357" s="7"/>
      <x:c r="U357" s="7"/>
      <x:c r="V357" s="7"/>
      <x:c r="W357" s="7"/>
      <x:c r="X357" s="7"/>
      <x:c r="Y357" s="7"/>
      <x:c r="Z357" s="7"/>
      <x:c r="AA357" s="7"/>
      <x:c r="AB357" s="7"/>
      <x:c r="AC357" s="7"/>
      <x:c r="AD357" s="7"/>
      <x:c r="AE357" s="3"/>
      <x:c r="AF357" s="3"/>
      <x:c r="AG357" s="3"/>
      <x:c r="AH357" s="3"/>
      <x:c r="AI357" s="3"/>
      <x:c r="AJ357" s="9" t="str">
        <x:f>IF(A357="","",A357&amp;"|"&amp;B357)</x:f>
      </x:c>
      <x:c r="AK357" s="9" t="str">
        <x:f>IF(A357="",IF(B357="","","MISSING_TEST_ID"),IF(B357="","MISSING_RUN_ID",IF(COUNTIFS($A$2:$A$501,A357,$B$2:$B$501,B357)&lt;&gt;1,"DUPLICATE_ID","OK")))</x:f>
      </x:c>
      <x:c r="AL357" s="9" t="str">
        <x:f>IF(A357="","",IF(AND(AK357="OK",J357="READY",F357&lt;&gt;"",G357&lt;&gt;"",K357&lt;&gt;"",OR(L357="PASS",L357="FAIL"),M357&lt;&gt;"",P357="social-publication-v2"),"YES","NO"))</x:f>
      </x:c>
      <x:c r="AM357" s="9" t="str">
        <x:f>IF(A357="","",IF(AND(AK357="OK",J357="READY",F357&lt;&gt;"",G357&lt;&gt;"",K357&lt;&gt;"",S357="OK",OR(R357="PASS",R357="FAIL")),"YES","NO"))</x:f>
      </x:c>
      <x:c r="AN357" s="9" t="str">
        <x:f>IF(A357="","",F357&amp;" | "&amp;G357&amp;" | "&amp;H357&amp;" | "&amp;I357)</x:f>
      </x:c>
    </x:row>
    <x:row r="358" ht="33" customHeight="1">
      <x:c r="A358" s="3"/>
      <x:c r="B358" s="3"/>
      <x:c r="C358" s="3"/>
      <x:c r="D358" s="3"/>
      <x:c r="E358" s="3"/>
      <x:c r="F358" s="3"/>
      <x:c r="G358" s="3"/>
      <x:c r="H358" s="3"/>
      <x:c r="I358" s="3"/>
      <x:c r="J358" s="3"/>
      <x:c r="K358" s="3"/>
      <x:c r="L358" s="6"/>
      <x:c r="M358" s="6"/>
      <x:c r="N358" s="6"/>
      <x:c r="O358" s="6"/>
      <x:c r="P358" s="6"/>
      <x:c r="Q358" s="7"/>
      <x:c r="R358" s="7"/>
      <x:c r="S358" s="7"/>
      <x:c r="T358" s="7"/>
      <x:c r="U358" s="7"/>
      <x:c r="V358" s="7"/>
      <x:c r="W358" s="7"/>
      <x:c r="X358" s="7"/>
      <x:c r="Y358" s="7"/>
      <x:c r="Z358" s="7"/>
      <x:c r="AA358" s="7"/>
      <x:c r="AB358" s="7"/>
      <x:c r="AC358" s="7"/>
      <x:c r="AD358" s="7"/>
      <x:c r="AE358" s="3"/>
      <x:c r="AF358" s="3"/>
      <x:c r="AG358" s="3"/>
      <x:c r="AH358" s="3"/>
      <x:c r="AI358" s="3"/>
      <x:c r="AJ358" s="9" t="str">
        <x:f>IF(A358="","",A358&amp;"|"&amp;B358)</x:f>
      </x:c>
      <x:c r="AK358" s="9" t="str">
        <x:f>IF(A358="",IF(B358="","","MISSING_TEST_ID"),IF(B358="","MISSING_RUN_ID",IF(COUNTIFS($A$2:$A$501,A358,$B$2:$B$501,B358)&lt;&gt;1,"DUPLICATE_ID","OK")))</x:f>
      </x:c>
      <x:c r="AL358" s="9" t="str">
        <x:f>IF(A358="","",IF(AND(AK358="OK",J358="READY",F358&lt;&gt;"",G358&lt;&gt;"",K358&lt;&gt;"",OR(L358="PASS",L358="FAIL"),M358&lt;&gt;"",P358="social-publication-v2"),"YES","NO"))</x:f>
      </x:c>
      <x:c r="AM358" s="9" t="str">
        <x:f>IF(A358="","",IF(AND(AK358="OK",J358="READY",F358&lt;&gt;"",G358&lt;&gt;"",K358&lt;&gt;"",S358="OK",OR(R358="PASS",R358="FAIL")),"YES","NO"))</x:f>
      </x:c>
      <x:c r="AN358" s="9" t="str">
        <x:f>IF(A358="","",F358&amp;" | "&amp;G358&amp;" | "&amp;H358&amp;" | "&amp;I358)</x:f>
      </x:c>
    </x:row>
    <x:row r="359" ht="33" customHeight="1">
      <x:c r="A359" s="3"/>
      <x:c r="B359" s="3"/>
      <x:c r="C359" s="3"/>
      <x:c r="D359" s="3"/>
      <x:c r="E359" s="3"/>
      <x:c r="F359" s="3"/>
      <x:c r="G359" s="3"/>
      <x:c r="H359" s="3"/>
      <x:c r="I359" s="3"/>
      <x:c r="J359" s="3"/>
      <x:c r="K359" s="3"/>
      <x:c r="L359" s="6"/>
      <x:c r="M359" s="6"/>
      <x:c r="N359" s="6"/>
      <x:c r="O359" s="6"/>
      <x:c r="P359" s="6"/>
      <x:c r="Q359" s="7"/>
      <x:c r="R359" s="7"/>
      <x:c r="S359" s="7"/>
      <x:c r="T359" s="7"/>
      <x:c r="U359" s="7"/>
      <x:c r="V359" s="7"/>
      <x:c r="W359" s="7"/>
      <x:c r="X359" s="7"/>
      <x:c r="Y359" s="7"/>
      <x:c r="Z359" s="7"/>
      <x:c r="AA359" s="7"/>
      <x:c r="AB359" s="7"/>
      <x:c r="AC359" s="7"/>
      <x:c r="AD359" s="7"/>
      <x:c r="AE359" s="3"/>
      <x:c r="AF359" s="3"/>
      <x:c r="AG359" s="3"/>
      <x:c r="AH359" s="3"/>
      <x:c r="AI359" s="3"/>
      <x:c r="AJ359" s="9" t="str">
        <x:f>IF(A359="","",A359&amp;"|"&amp;B359)</x:f>
      </x:c>
      <x:c r="AK359" s="9" t="str">
        <x:f>IF(A359="",IF(B359="","","MISSING_TEST_ID"),IF(B359="","MISSING_RUN_ID",IF(COUNTIFS($A$2:$A$501,A359,$B$2:$B$501,B359)&lt;&gt;1,"DUPLICATE_ID","OK")))</x:f>
      </x:c>
      <x:c r="AL359" s="9" t="str">
        <x:f>IF(A359="","",IF(AND(AK359="OK",J359="READY",F359&lt;&gt;"",G359&lt;&gt;"",K359&lt;&gt;"",OR(L359="PASS",L359="FAIL"),M359&lt;&gt;"",P359="social-publication-v2"),"YES","NO"))</x:f>
      </x:c>
      <x:c r="AM359" s="9" t="str">
        <x:f>IF(A359="","",IF(AND(AK359="OK",J359="READY",F359&lt;&gt;"",G359&lt;&gt;"",K359&lt;&gt;"",S359="OK",OR(R359="PASS",R359="FAIL")),"YES","NO"))</x:f>
      </x:c>
      <x:c r="AN359" s="9" t="str">
        <x:f>IF(A359="","",F359&amp;" | "&amp;G359&amp;" | "&amp;H359&amp;" | "&amp;I359)</x:f>
      </x:c>
    </x:row>
    <x:row r="360" ht="33" customHeight="1">
      <x:c r="A360" s="3"/>
      <x:c r="B360" s="3"/>
      <x:c r="C360" s="3"/>
      <x:c r="D360" s="3"/>
      <x:c r="E360" s="3"/>
      <x:c r="F360" s="3"/>
      <x:c r="G360" s="3"/>
      <x:c r="H360" s="3"/>
      <x:c r="I360" s="3"/>
      <x:c r="J360" s="3"/>
      <x:c r="K360" s="3"/>
      <x:c r="L360" s="6"/>
      <x:c r="M360" s="6"/>
      <x:c r="N360" s="6"/>
      <x:c r="O360" s="6"/>
      <x:c r="P360" s="6"/>
      <x:c r="Q360" s="7"/>
      <x:c r="R360" s="7"/>
      <x:c r="S360" s="7"/>
      <x:c r="T360" s="7"/>
      <x:c r="U360" s="7"/>
      <x:c r="V360" s="7"/>
      <x:c r="W360" s="7"/>
      <x:c r="X360" s="7"/>
      <x:c r="Y360" s="7"/>
      <x:c r="Z360" s="7"/>
      <x:c r="AA360" s="7"/>
      <x:c r="AB360" s="7"/>
      <x:c r="AC360" s="7"/>
      <x:c r="AD360" s="7"/>
      <x:c r="AE360" s="3"/>
      <x:c r="AF360" s="3"/>
      <x:c r="AG360" s="3"/>
      <x:c r="AH360" s="3"/>
      <x:c r="AI360" s="3"/>
      <x:c r="AJ360" s="9" t="str">
        <x:f>IF(A360="","",A360&amp;"|"&amp;B360)</x:f>
      </x:c>
      <x:c r="AK360" s="9" t="str">
        <x:f>IF(A360="",IF(B360="","","MISSING_TEST_ID"),IF(B360="","MISSING_RUN_ID",IF(COUNTIFS($A$2:$A$501,A360,$B$2:$B$501,B360)&lt;&gt;1,"DUPLICATE_ID","OK")))</x:f>
      </x:c>
      <x:c r="AL360" s="9" t="str">
        <x:f>IF(A360="","",IF(AND(AK360="OK",J360="READY",F360&lt;&gt;"",G360&lt;&gt;"",K360&lt;&gt;"",OR(L360="PASS",L360="FAIL"),M360&lt;&gt;"",P360="social-publication-v2"),"YES","NO"))</x:f>
      </x:c>
      <x:c r="AM360" s="9" t="str">
        <x:f>IF(A360="","",IF(AND(AK360="OK",J360="READY",F360&lt;&gt;"",G360&lt;&gt;"",K360&lt;&gt;"",S360="OK",OR(R360="PASS",R360="FAIL")),"YES","NO"))</x:f>
      </x:c>
      <x:c r="AN360" s="9" t="str">
        <x:f>IF(A360="","",F360&amp;" | "&amp;G360&amp;" | "&amp;H360&amp;" | "&amp;I360)</x:f>
      </x:c>
    </x:row>
    <x:row r="361" ht="33" customHeight="1">
      <x:c r="A361" s="3"/>
      <x:c r="B361" s="3"/>
      <x:c r="C361" s="3"/>
      <x:c r="D361" s="3"/>
      <x:c r="E361" s="3"/>
      <x:c r="F361" s="3"/>
      <x:c r="G361" s="3"/>
      <x:c r="H361" s="3"/>
      <x:c r="I361" s="3"/>
      <x:c r="J361" s="3"/>
      <x:c r="K361" s="3"/>
      <x:c r="L361" s="6"/>
      <x:c r="M361" s="6"/>
      <x:c r="N361" s="6"/>
      <x:c r="O361" s="6"/>
      <x:c r="P361" s="6"/>
      <x:c r="Q361" s="7"/>
      <x:c r="R361" s="7"/>
      <x:c r="S361" s="7"/>
      <x:c r="T361" s="7"/>
      <x:c r="U361" s="7"/>
      <x:c r="V361" s="7"/>
      <x:c r="W361" s="7"/>
      <x:c r="X361" s="7"/>
      <x:c r="Y361" s="7"/>
      <x:c r="Z361" s="7"/>
      <x:c r="AA361" s="7"/>
      <x:c r="AB361" s="7"/>
      <x:c r="AC361" s="7"/>
      <x:c r="AD361" s="7"/>
      <x:c r="AE361" s="3"/>
      <x:c r="AF361" s="3"/>
      <x:c r="AG361" s="3"/>
      <x:c r="AH361" s="3"/>
      <x:c r="AI361" s="3"/>
      <x:c r="AJ361" s="9" t="str">
        <x:f>IF(A361="","",A361&amp;"|"&amp;B361)</x:f>
      </x:c>
      <x:c r="AK361" s="9" t="str">
        <x:f>IF(A361="",IF(B361="","","MISSING_TEST_ID"),IF(B361="","MISSING_RUN_ID",IF(COUNTIFS($A$2:$A$501,A361,$B$2:$B$501,B361)&lt;&gt;1,"DUPLICATE_ID","OK")))</x:f>
      </x:c>
      <x:c r="AL361" s="9" t="str">
        <x:f>IF(A361="","",IF(AND(AK361="OK",J361="READY",F361&lt;&gt;"",G361&lt;&gt;"",K361&lt;&gt;"",OR(L361="PASS",L361="FAIL"),M361&lt;&gt;"",P361="social-publication-v2"),"YES","NO"))</x:f>
      </x:c>
      <x:c r="AM361" s="9" t="str">
        <x:f>IF(A361="","",IF(AND(AK361="OK",J361="READY",F361&lt;&gt;"",G361&lt;&gt;"",K361&lt;&gt;"",S361="OK",OR(R361="PASS",R361="FAIL")),"YES","NO"))</x:f>
      </x:c>
      <x:c r="AN361" s="9" t="str">
        <x:f>IF(A361="","",F361&amp;" | "&amp;G361&amp;" | "&amp;H361&amp;" | "&amp;I361)</x:f>
      </x:c>
    </x:row>
    <x:row r="362" ht="33" customHeight="1">
      <x:c r="A362" s="3"/>
      <x:c r="B362" s="3"/>
      <x:c r="C362" s="3"/>
      <x:c r="D362" s="3"/>
      <x:c r="E362" s="3"/>
      <x:c r="F362" s="3"/>
      <x:c r="G362" s="3"/>
      <x:c r="H362" s="3"/>
      <x:c r="I362" s="3"/>
      <x:c r="J362" s="3"/>
      <x:c r="K362" s="3"/>
      <x:c r="L362" s="6"/>
      <x:c r="M362" s="6"/>
      <x:c r="N362" s="6"/>
      <x:c r="O362" s="6"/>
      <x:c r="P362" s="6"/>
      <x:c r="Q362" s="7"/>
      <x:c r="R362" s="7"/>
      <x:c r="S362" s="7"/>
      <x:c r="T362" s="7"/>
      <x:c r="U362" s="7"/>
      <x:c r="V362" s="7"/>
      <x:c r="W362" s="7"/>
      <x:c r="X362" s="7"/>
      <x:c r="Y362" s="7"/>
      <x:c r="Z362" s="7"/>
      <x:c r="AA362" s="7"/>
      <x:c r="AB362" s="7"/>
      <x:c r="AC362" s="7"/>
      <x:c r="AD362" s="7"/>
      <x:c r="AE362" s="3"/>
      <x:c r="AF362" s="3"/>
      <x:c r="AG362" s="3"/>
      <x:c r="AH362" s="3"/>
      <x:c r="AI362" s="3"/>
      <x:c r="AJ362" s="9" t="str">
        <x:f>IF(A362="","",A362&amp;"|"&amp;B362)</x:f>
      </x:c>
      <x:c r="AK362" s="9" t="str">
        <x:f>IF(A362="",IF(B362="","","MISSING_TEST_ID"),IF(B362="","MISSING_RUN_ID",IF(COUNTIFS($A$2:$A$501,A362,$B$2:$B$501,B362)&lt;&gt;1,"DUPLICATE_ID","OK")))</x:f>
      </x:c>
      <x:c r="AL362" s="9" t="str">
        <x:f>IF(A362="","",IF(AND(AK362="OK",J362="READY",F362&lt;&gt;"",G362&lt;&gt;"",K362&lt;&gt;"",OR(L362="PASS",L362="FAIL"),M362&lt;&gt;"",P362="social-publication-v2"),"YES","NO"))</x:f>
      </x:c>
      <x:c r="AM362" s="9" t="str">
        <x:f>IF(A362="","",IF(AND(AK362="OK",J362="READY",F362&lt;&gt;"",G362&lt;&gt;"",K362&lt;&gt;"",S362="OK",OR(R362="PASS",R362="FAIL")),"YES","NO"))</x:f>
      </x:c>
      <x:c r="AN362" s="9" t="str">
        <x:f>IF(A362="","",F362&amp;" | "&amp;G362&amp;" | "&amp;H362&amp;" | "&amp;I362)</x:f>
      </x:c>
    </x:row>
    <x:row r="363" ht="33" customHeight="1">
      <x:c r="A363" s="3"/>
      <x:c r="B363" s="3"/>
      <x:c r="C363" s="3"/>
      <x:c r="D363" s="3"/>
      <x:c r="E363" s="3"/>
      <x:c r="F363" s="3"/>
      <x:c r="G363" s="3"/>
      <x:c r="H363" s="3"/>
      <x:c r="I363" s="3"/>
      <x:c r="J363" s="3"/>
      <x:c r="K363" s="3"/>
      <x:c r="L363" s="6"/>
      <x:c r="M363" s="6"/>
      <x:c r="N363" s="6"/>
      <x:c r="O363" s="6"/>
      <x:c r="P363" s="6"/>
      <x:c r="Q363" s="7"/>
      <x:c r="R363" s="7"/>
      <x:c r="S363" s="7"/>
      <x:c r="T363" s="7"/>
      <x:c r="U363" s="7"/>
      <x:c r="V363" s="7"/>
      <x:c r="W363" s="7"/>
      <x:c r="X363" s="7"/>
      <x:c r="Y363" s="7"/>
      <x:c r="Z363" s="7"/>
      <x:c r="AA363" s="7"/>
      <x:c r="AB363" s="7"/>
      <x:c r="AC363" s="7"/>
      <x:c r="AD363" s="7"/>
      <x:c r="AE363" s="3"/>
      <x:c r="AF363" s="3"/>
      <x:c r="AG363" s="3"/>
      <x:c r="AH363" s="3"/>
      <x:c r="AI363" s="3"/>
      <x:c r="AJ363" s="9" t="str">
        <x:f>IF(A363="","",A363&amp;"|"&amp;B363)</x:f>
      </x:c>
      <x:c r="AK363" s="9" t="str">
        <x:f>IF(A363="",IF(B363="","","MISSING_TEST_ID"),IF(B363="","MISSING_RUN_ID",IF(COUNTIFS($A$2:$A$501,A363,$B$2:$B$501,B363)&lt;&gt;1,"DUPLICATE_ID","OK")))</x:f>
      </x:c>
      <x:c r="AL363" s="9" t="str">
        <x:f>IF(A363="","",IF(AND(AK363="OK",J363="READY",F363&lt;&gt;"",G363&lt;&gt;"",K363&lt;&gt;"",OR(L363="PASS",L363="FAIL"),M363&lt;&gt;"",P363="social-publication-v2"),"YES","NO"))</x:f>
      </x:c>
      <x:c r="AM363" s="9" t="str">
        <x:f>IF(A363="","",IF(AND(AK363="OK",J363="READY",F363&lt;&gt;"",G363&lt;&gt;"",K363&lt;&gt;"",S363="OK",OR(R363="PASS",R363="FAIL")),"YES","NO"))</x:f>
      </x:c>
      <x:c r="AN363" s="9" t="str">
        <x:f>IF(A363="","",F363&amp;" | "&amp;G363&amp;" | "&amp;H363&amp;" | "&amp;I363)</x:f>
      </x:c>
    </x:row>
    <x:row r="364" ht="33" customHeight="1">
      <x:c r="A364" s="3"/>
      <x:c r="B364" s="3"/>
      <x:c r="C364" s="3"/>
      <x:c r="D364" s="3"/>
      <x:c r="E364" s="3"/>
      <x:c r="F364" s="3"/>
      <x:c r="G364" s="3"/>
      <x:c r="H364" s="3"/>
      <x:c r="I364" s="3"/>
      <x:c r="J364" s="3"/>
      <x:c r="K364" s="3"/>
      <x:c r="L364" s="6"/>
      <x:c r="M364" s="6"/>
      <x:c r="N364" s="6"/>
      <x:c r="O364" s="6"/>
      <x:c r="P364" s="6"/>
      <x:c r="Q364" s="7"/>
      <x:c r="R364" s="7"/>
      <x:c r="S364" s="7"/>
      <x:c r="T364" s="7"/>
      <x:c r="U364" s="7"/>
      <x:c r="V364" s="7"/>
      <x:c r="W364" s="7"/>
      <x:c r="X364" s="7"/>
      <x:c r="Y364" s="7"/>
      <x:c r="Z364" s="7"/>
      <x:c r="AA364" s="7"/>
      <x:c r="AB364" s="7"/>
      <x:c r="AC364" s="7"/>
      <x:c r="AD364" s="7"/>
      <x:c r="AE364" s="3"/>
      <x:c r="AF364" s="3"/>
      <x:c r="AG364" s="3"/>
      <x:c r="AH364" s="3"/>
      <x:c r="AI364" s="3"/>
      <x:c r="AJ364" s="9" t="str">
        <x:f>IF(A364="","",A364&amp;"|"&amp;B364)</x:f>
      </x:c>
      <x:c r="AK364" s="9" t="str">
        <x:f>IF(A364="",IF(B364="","","MISSING_TEST_ID"),IF(B364="","MISSING_RUN_ID",IF(COUNTIFS($A$2:$A$501,A364,$B$2:$B$501,B364)&lt;&gt;1,"DUPLICATE_ID","OK")))</x:f>
      </x:c>
      <x:c r="AL364" s="9" t="str">
        <x:f>IF(A364="","",IF(AND(AK364="OK",J364="READY",F364&lt;&gt;"",G364&lt;&gt;"",K364&lt;&gt;"",OR(L364="PASS",L364="FAIL"),M364&lt;&gt;"",P364="social-publication-v2"),"YES","NO"))</x:f>
      </x:c>
      <x:c r="AM364" s="9" t="str">
        <x:f>IF(A364="","",IF(AND(AK364="OK",J364="READY",F364&lt;&gt;"",G364&lt;&gt;"",K364&lt;&gt;"",S364="OK",OR(R364="PASS",R364="FAIL")),"YES","NO"))</x:f>
      </x:c>
      <x:c r="AN364" s="9" t="str">
        <x:f>IF(A364="","",F364&amp;" | "&amp;G364&amp;" | "&amp;H364&amp;" | "&amp;I364)</x:f>
      </x:c>
    </x:row>
    <x:row r="365" ht="33" customHeight="1">
      <x:c r="A365" s="3"/>
      <x:c r="B365" s="3"/>
      <x:c r="C365" s="3"/>
      <x:c r="D365" s="3"/>
      <x:c r="E365" s="3"/>
      <x:c r="F365" s="3"/>
      <x:c r="G365" s="3"/>
      <x:c r="H365" s="3"/>
      <x:c r="I365" s="3"/>
      <x:c r="J365" s="3"/>
      <x:c r="K365" s="3"/>
      <x:c r="L365" s="6"/>
      <x:c r="M365" s="6"/>
      <x:c r="N365" s="6"/>
      <x:c r="O365" s="6"/>
      <x:c r="P365" s="6"/>
      <x:c r="Q365" s="7"/>
      <x:c r="R365" s="7"/>
      <x:c r="S365" s="7"/>
      <x:c r="T365" s="7"/>
      <x:c r="U365" s="7"/>
      <x:c r="V365" s="7"/>
      <x:c r="W365" s="7"/>
      <x:c r="X365" s="7"/>
      <x:c r="Y365" s="7"/>
      <x:c r="Z365" s="7"/>
      <x:c r="AA365" s="7"/>
      <x:c r="AB365" s="7"/>
      <x:c r="AC365" s="7"/>
      <x:c r="AD365" s="7"/>
      <x:c r="AE365" s="3"/>
      <x:c r="AF365" s="3"/>
      <x:c r="AG365" s="3"/>
      <x:c r="AH365" s="3"/>
      <x:c r="AI365" s="3"/>
      <x:c r="AJ365" s="9" t="str">
        <x:f>IF(A365="","",A365&amp;"|"&amp;B365)</x:f>
      </x:c>
      <x:c r="AK365" s="9" t="str">
        <x:f>IF(A365="",IF(B365="","","MISSING_TEST_ID"),IF(B365="","MISSING_RUN_ID",IF(COUNTIFS($A$2:$A$501,A365,$B$2:$B$501,B365)&lt;&gt;1,"DUPLICATE_ID","OK")))</x:f>
      </x:c>
      <x:c r="AL365" s="9" t="str">
        <x:f>IF(A365="","",IF(AND(AK365="OK",J365="READY",F365&lt;&gt;"",G365&lt;&gt;"",K365&lt;&gt;"",OR(L365="PASS",L365="FAIL"),M365&lt;&gt;"",P365="social-publication-v2"),"YES","NO"))</x:f>
      </x:c>
      <x:c r="AM365" s="9" t="str">
        <x:f>IF(A365="","",IF(AND(AK365="OK",J365="READY",F365&lt;&gt;"",G365&lt;&gt;"",K365&lt;&gt;"",S365="OK",OR(R365="PASS",R365="FAIL")),"YES","NO"))</x:f>
      </x:c>
      <x:c r="AN365" s="9" t="str">
        <x:f>IF(A365="","",F365&amp;" | "&amp;G365&amp;" | "&amp;H365&amp;" | "&amp;I365)</x:f>
      </x:c>
    </x:row>
    <x:row r="366" ht="33" customHeight="1">
      <x:c r="A366" s="3"/>
      <x:c r="B366" s="3"/>
      <x:c r="C366" s="3"/>
      <x:c r="D366" s="3"/>
      <x:c r="E366" s="3"/>
      <x:c r="F366" s="3"/>
      <x:c r="G366" s="3"/>
      <x:c r="H366" s="3"/>
      <x:c r="I366" s="3"/>
      <x:c r="J366" s="3"/>
      <x:c r="K366" s="3"/>
      <x:c r="L366" s="6"/>
      <x:c r="M366" s="6"/>
      <x:c r="N366" s="6"/>
      <x:c r="O366" s="6"/>
      <x:c r="P366" s="6"/>
      <x:c r="Q366" s="7"/>
      <x:c r="R366" s="7"/>
      <x:c r="S366" s="7"/>
      <x:c r="T366" s="7"/>
      <x:c r="U366" s="7"/>
      <x:c r="V366" s="7"/>
      <x:c r="W366" s="7"/>
      <x:c r="X366" s="7"/>
      <x:c r="Y366" s="7"/>
      <x:c r="Z366" s="7"/>
      <x:c r="AA366" s="7"/>
      <x:c r="AB366" s="7"/>
      <x:c r="AC366" s="7"/>
      <x:c r="AD366" s="7"/>
      <x:c r="AE366" s="3"/>
      <x:c r="AF366" s="3"/>
      <x:c r="AG366" s="3"/>
      <x:c r="AH366" s="3"/>
      <x:c r="AI366" s="3"/>
      <x:c r="AJ366" s="9" t="str">
        <x:f>IF(A366="","",A366&amp;"|"&amp;B366)</x:f>
      </x:c>
      <x:c r="AK366" s="9" t="str">
        <x:f>IF(A366="",IF(B366="","","MISSING_TEST_ID"),IF(B366="","MISSING_RUN_ID",IF(COUNTIFS($A$2:$A$501,A366,$B$2:$B$501,B366)&lt;&gt;1,"DUPLICATE_ID","OK")))</x:f>
      </x:c>
      <x:c r="AL366" s="9" t="str">
        <x:f>IF(A366="","",IF(AND(AK366="OK",J366="READY",F366&lt;&gt;"",G366&lt;&gt;"",K366&lt;&gt;"",OR(L366="PASS",L366="FAIL"),M366&lt;&gt;"",P366="social-publication-v2"),"YES","NO"))</x:f>
      </x:c>
      <x:c r="AM366" s="9" t="str">
        <x:f>IF(A366="","",IF(AND(AK366="OK",J366="READY",F366&lt;&gt;"",G366&lt;&gt;"",K366&lt;&gt;"",S366="OK",OR(R366="PASS",R366="FAIL")),"YES","NO"))</x:f>
      </x:c>
      <x:c r="AN366" s="9" t="str">
        <x:f>IF(A366="","",F366&amp;" | "&amp;G366&amp;" | "&amp;H366&amp;" | "&amp;I366)</x:f>
      </x:c>
    </x:row>
    <x:row r="367" ht="33" customHeight="1">
      <x:c r="A367" s="3"/>
      <x:c r="B367" s="3"/>
      <x:c r="C367" s="3"/>
      <x:c r="D367" s="3"/>
      <x:c r="E367" s="3"/>
      <x:c r="F367" s="3"/>
      <x:c r="G367" s="3"/>
      <x:c r="H367" s="3"/>
      <x:c r="I367" s="3"/>
      <x:c r="J367" s="3"/>
      <x:c r="K367" s="3"/>
      <x:c r="L367" s="6"/>
      <x:c r="M367" s="6"/>
      <x:c r="N367" s="6"/>
      <x:c r="O367" s="6"/>
      <x:c r="P367" s="6"/>
      <x:c r="Q367" s="7"/>
      <x:c r="R367" s="7"/>
      <x:c r="S367" s="7"/>
      <x:c r="T367" s="7"/>
      <x:c r="U367" s="7"/>
      <x:c r="V367" s="7"/>
      <x:c r="W367" s="7"/>
      <x:c r="X367" s="7"/>
      <x:c r="Y367" s="7"/>
      <x:c r="Z367" s="7"/>
      <x:c r="AA367" s="7"/>
      <x:c r="AB367" s="7"/>
      <x:c r="AC367" s="7"/>
      <x:c r="AD367" s="7"/>
      <x:c r="AE367" s="3"/>
      <x:c r="AF367" s="3"/>
      <x:c r="AG367" s="3"/>
      <x:c r="AH367" s="3"/>
      <x:c r="AI367" s="3"/>
      <x:c r="AJ367" s="9" t="str">
        <x:f>IF(A367="","",A367&amp;"|"&amp;B367)</x:f>
      </x:c>
      <x:c r="AK367" s="9" t="str">
        <x:f>IF(A367="",IF(B367="","","MISSING_TEST_ID"),IF(B367="","MISSING_RUN_ID",IF(COUNTIFS($A$2:$A$501,A367,$B$2:$B$501,B367)&lt;&gt;1,"DUPLICATE_ID","OK")))</x:f>
      </x:c>
      <x:c r="AL367" s="9" t="str">
        <x:f>IF(A367="","",IF(AND(AK367="OK",J367="READY",F367&lt;&gt;"",G367&lt;&gt;"",K367&lt;&gt;"",OR(L367="PASS",L367="FAIL"),M367&lt;&gt;"",P367="social-publication-v2"),"YES","NO"))</x:f>
      </x:c>
      <x:c r="AM367" s="9" t="str">
        <x:f>IF(A367="","",IF(AND(AK367="OK",J367="READY",F367&lt;&gt;"",G367&lt;&gt;"",K367&lt;&gt;"",S367="OK",OR(R367="PASS",R367="FAIL")),"YES","NO"))</x:f>
      </x:c>
      <x:c r="AN367" s="9" t="str">
        <x:f>IF(A367="","",F367&amp;" | "&amp;G367&amp;" | "&amp;H367&amp;" | "&amp;I367)</x:f>
      </x:c>
    </x:row>
    <x:row r="368" ht="33" customHeight="1">
      <x:c r="A368" s="3"/>
      <x:c r="B368" s="3"/>
      <x:c r="C368" s="3"/>
      <x:c r="D368" s="3"/>
      <x:c r="E368" s="3"/>
      <x:c r="F368" s="3"/>
      <x:c r="G368" s="3"/>
      <x:c r="H368" s="3"/>
      <x:c r="I368" s="3"/>
      <x:c r="J368" s="3"/>
      <x:c r="K368" s="3"/>
      <x:c r="L368" s="6"/>
      <x:c r="M368" s="6"/>
      <x:c r="N368" s="6"/>
      <x:c r="O368" s="6"/>
      <x:c r="P368" s="6"/>
      <x:c r="Q368" s="7"/>
      <x:c r="R368" s="7"/>
      <x:c r="S368" s="7"/>
      <x:c r="T368" s="7"/>
      <x:c r="U368" s="7"/>
      <x:c r="V368" s="7"/>
      <x:c r="W368" s="7"/>
      <x:c r="X368" s="7"/>
      <x:c r="Y368" s="7"/>
      <x:c r="Z368" s="7"/>
      <x:c r="AA368" s="7"/>
      <x:c r="AB368" s="7"/>
      <x:c r="AC368" s="7"/>
      <x:c r="AD368" s="7"/>
      <x:c r="AE368" s="3"/>
      <x:c r="AF368" s="3"/>
      <x:c r="AG368" s="3"/>
      <x:c r="AH368" s="3"/>
      <x:c r="AI368" s="3"/>
      <x:c r="AJ368" s="9" t="str">
        <x:f>IF(A368="","",A368&amp;"|"&amp;B368)</x:f>
      </x:c>
      <x:c r="AK368" s="9" t="str">
        <x:f>IF(A368="",IF(B368="","","MISSING_TEST_ID"),IF(B368="","MISSING_RUN_ID",IF(COUNTIFS($A$2:$A$501,A368,$B$2:$B$501,B368)&lt;&gt;1,"DUPLICATE_ID","OK")))</x:f>
      </x:c>
      <x:c r="AL368" s="9" t="str">
        <x:f>IF(A368="","",IF(AND(AK368="OK",J368="READY",F368&lt;&gt;"",G368&lt;&gt;"",K368&lt;&gt;"",OR(L368="PASS",L368="FAIL"),M368&lt;&gt;"",P368="social-publication-v2"),"YES","NO"))</x:f>
      </x:c>
      <x:c r="AM368" s="9" t="str">
        <x:f>IF(A368="","",IF(AND(AK368="OK",J368="READY",F368&lt;&gt;"",G368&lt;&gt;"",K368&lt;&gt;"",S368="OK",OR(R368="PASS",R368="FAIL")),"YES","NO"))</x:f>
      </x:c>
      <x:c r="AN368" s="9" t="str">
        <x:f>IF(A368="","",F368&amp;" | "&amp;G368&amp;" | "&amp;H368&amp;" | "&amp;I368)</x:f>
      </x:c>
    </x:row>
    <x:row r="369" ht="33" customHeight="1">
      <x:c r="A369" s="3"/>
      <x:c r="B369" s="3"/>
      <x:c r="C369" s="3"/>
      <x:c r="D369" s="3"/>
      <x:c r="E369" s="3"/>
      <x:c r="F369" s="3"/>
      <x:c r="G369" s="3"/>
      <x:c r="H369" s="3"/>
      <x:c r="I369" s="3"/>
      <x:c r="J369" s="3"/>
      <x:c r="K369" s="3"/>
      <x:c r="L369" s="6"/>
      <x:c r="M369" s="6"/>
      <x:c r="N369" s="6"/>
      <x:c r="O369" s="6"/>
      <x:c r="P369" s="6"/>
      <x:c r="Q369" s="7"/>
      <x:c r="R369" s="7"/>
      <x:c r="S369" s="7"/>
      <x:c r="T369" s="7"/>
      <x:c r="U369" s="7"/>
      <x:c r="V369" s="7"/>
      <x:c r="W369" s="7"/>
      <x:c r="X369" s="7"/>
      <x:c r="Y369" s="7"/>
      <x:c r="Z369" s="7"/>
      <x:c r="AA369" s="7"/>
      <x:c r="AB369" s="7"/>
      <x:c r="AC369" s="7"/>
      <x:c r="AD369" s="7"/>
      <x:c r="AE369" s="3"/>
      <x:c r="AF369" s="3"/>
      <x:c r="AG369" s="3"/>
      <x:c r="AH369" s="3"/>
      <x:c r="AI369" s="3"/>
      <x:c r="AJ369" s="9" t="str">
        <x:f>IF(A369="","",A369&amp;"|"&amp;B369)</x:f>
      </x:c>
      <x:c r="AK369" s="9" t="str">
        <x:f>IF(A369="",IF(B369="","","MISSING_TEST_ID"),IF(B369="","MISSING_RUN_ID",IF(COUNTIFS($A$2:$A$501,A369,$B$2:$B$501,B369)&lt;&gt;1,"DUPLICATE_ID","OK")))</x:f>
      </x:c>
      <x:c r="AL369" s="9" t="str">
        <x:f>IF(A369="","",IF(AND(AK369="OK",J369="READY",F369&lt;&gt;"",G369&lt;&gt;"",K369&lt;&gt;"",OR(L369="PASS",L369="FAIL"),M369&lt;&gt;"",P369="social-publication-v2"),"YES","NO"))</x:f>
      </x:c>
      <x:c r="AM369" s="9" t="str">
        <x:f>IF(A369="","",IF(AND(AK369="OK",J369="READY",F369&lt;&gt;"",G369&lt;&gt;"",K369&lt;&gt;"",S369="OK",OR(R369="PASS",R369="FAIL")),"YES","NO"))</x:f>
      </x:c>
      <x:c r="AN369" s="9" t="str">
        <x:f>IF(A369="","",F369&amp;" | "&amp;G369&amp;" | "&amp;H369&amp;" | "&amp;I369)</x:f>
      </x:c>
    </x:row>
    <x:row r="370" ht="33" customHeight="1">
      <x:c r="A370" s="3"/>
      <x:c r="B370" s="3"/>
      <x:c r="C370" s="3"/>
      <x:c r="D370" s="3"/>
      <x:c r="E370" s="3"/>
      <x:c r="F370" s="3"/>
      <x:c r="G370" s="3"/>
      <x:c r="H370" s="3"/>
      <x:c r="I370" s="3"/>
      <x:c r="J370" s="3"/>
      <x:c r="K370" s="3"/>
      <x:c r="L370" s="6"/>
      <x:c r="M370" s="6"/>
      <x:c r="N370" s="6"/>
      <x:c r="O370" s="6"/>
      <x:c r="P370" s="6"/>
      <x:c r="Q370" s="7"/>
      <x:c r="R370" s="7"/>
      <x:c r="S370" s="7"/>
      <x:c r="T370" s="7"/>
      <x:c r="U370" s="7"/>
      <x:c r="V370" s="7"/>
      <x:c r="W370" s="7"/>
      <x:c r="X370" s="7"/>
      <x:c r="Y370" s="7"/>
      <x:c r="Z370" s="7"/>
      <x:c r="AA370" s="7"/>
      <x:c r="AB370" s="7"/>
      <x:c r="AC370" s="7"/>
      <x:c r="AD370" s="7"/>
      <x:c r="AE370" s="3"/>
      <x:c r="AF370" s="3"/>
      <x:c r="AG370" s="3"/>
      <x:c r="AH370" s="3"/>
      <x:c r="AI370" s="3"/>
      <x:c r="AJ370" s="9" t="str">
        <x:f>IF(A370="","",A370&amp;"|"&amp;B370)</x:f>
      </x:c>
      <x:c r="AK370" s="9" t="str">
        <x:f>IF(A370="",IF(B370="","","MISSING_TEST_ID"),IF(B370="","MISSING_RUN_ID",IF(COUNTIFS($A$2:$A$501,A370,$B$2:$B$501,B370)&lt;&gt;1,"DUPLICATE_ID","OK")))</x:f>
      </x:c>
      <x:c r="AL370" s="9" t="str">
        <x:f>IF(A370="","",IF(AND(AK370="OK",J370="READY",F370&lt;&gt;"",G370&lt;&gt;"",K370&lt;&gt;"",OR(L370="PASS",L370="FAIL"),M370&lt;&gt;"",P370="social-publication-v2"),"YES","NO"))</x:f>
      </x:c>
      <x:c r="AM370" s="9" t="str">
        <x:f>IF(A370="","",IF(AND(AK370="OK",J370="READY",F370&lt;&gt;"",G370&lt;&gt;"",K370&lt;&gt;"",S370="OK",OR(R370="PASS",R370="FAIL")),"YES","NO"))</x:f>
      </x:c>
      <x:c r="AN370" s="9" t="str">
        <x:f>IF(A370="","",F370&amp;" | "&amp;G370&amp;" | "&amp;H370&amp;" | "&amp;I370)</x:f>
      </x:c>
    </x:row>
    <x:row r="371" ht="33" customHeight="1">
      <x:c r="A371" s="3"/>
      <x:c r="B371" s="3"/>
      <x:c r="C371" s="3"/>
      <x:c r="D371" s="3"/>
      <x:c r="E371" s="3"/>
      <x:c r="F371" s="3"/>
      <x:c r="G371" s="3"/>
      <x:c r="H371" s="3"/>
      <x:c r="I371" s="3"/>
      <x:c r="J371" s="3"/>
      <x:c r="K371" s="3"/>
      <x:c r="L371" s="6"/>
      <x:c r="M371" s="6"/>
      <x:c r="N371" s="6"/>
      <x:c r="O371" s="6"/>
      <x:c r="P371" s="6"/>
      <x:c r="Q371" s="7"/>
      <x:c r="R371" s="7"/>
      <x:c r="S371" s="7"/>
      <x:c r="T371" s="7"/>
      <x:c r="U371" s="7"/>
      <x:c r="V371" s="7"/>
      <x:c r="W371" s="7"/>
      <x:c r="X371" s="7"/>
      <x:c r="Y371" s="7"/>
      <x:c r="Z371" s="7"/>
      <x:c r="AA371" s="7"/>
      <x:c r="AB371" s="7"/>
      <x:c r="AC371" s="7"/>
      <x:c r="AD371" s="7"/>
      <x:c r="AE371" s="3"/>
      <x:c r="AF371" s="3"/>
      <x:c r="AG371" s="3"/>
      <x:c r="AH371" s="3"/>
      <x:c r="AI371" s="3"/>
      <x:c r="AJ371" s="9" t="str">
        <x:f>IF(A371="","",A371&amp;"|"&amp;B371)</x:f>
      </x:c>
      <x:c r="AK371" s="9" t="str">
        <x:f>IF(A371="",IF(B371="","","MISSING_TEST_ID"),IF(B371="","MISSING_RUN_ID",IF(COUNTIFS($A$2:$A$501,A371,$B$2:$B$501,B371)&lt;&gt;1,"DUPLICATE_ID","OK")))</x:f>
      </x:c>
      <x:c r="AL371" s="9" t="str">
        <x:f>IF(A371="","",IF(AND(AK371="OK",J371="READY",F371&lt;&gt;"",G371&lt;&gt;"",K371&lt;&gt;"",OR(L371="PASS",L371="FAIL"),M371&lt;&gt;"",P371="social-publication-v2"),"YES","NO"))</x:f>
      </x:c>
      <x:c r="AM371" s="9" t="str">
        <x:f>IF(A371="","",IF(AND(AK371="OK",J371="READY",F371&lt;&gt;"",G371&lt;&gt;"",K371&lt;&gt;"",S371="OK",OR(R371="PASS",R371="FAIL")),"YES","NO"))</x:f>
      </x:c>
      <x:c r="AN371" s="9" t="str">
        <x:f>IF(A371="","",F371&amp;" | "&amp;G371&amp;" | "&amp;H371&amp;" | "&amp;I371)</x:f>
      </x:c>
    </x:row>
    <x:row r="372" ht="33" customHeight="1">
      <x:c r="A372" s="3"/>
      <x:c r="B372" s="3"/>
      <x:c r="C372" s="3"/>
      <x:c r="D372" s="3"/>
      <x:c r="E372" s="3"/>
      <x:c r="F372" s="3"/>
      <x:c r="G372" s="3"/>
      <x:c r="H372" s="3"/>
      <x:c r="I372" s="3"/>
      <x:c r="J372" s="3"/>
      <x:c r="K372" s="3"/>
      <x:c r="L372" s="6"/>
      <x:c r="M372" s="6"/>
      <x:c r="N372" s="6"/>
      <x:c r="O372" s="6"/>
      <x:c r="P372" s="6"/>
      <x:c r="Q372" s="7"/>
      <x:c r="R372" s="7"/>
      <x:c r="S372" s="7"/>
      <x:c r="T372" s="7"/>
      <x:c r="U372" s="7"/>
      <x:c r="V372" s="7"/>
      <x:c r="W372" s="7"/>
      <x:c r="X372" s="7"/>
      <x:c r="Y372" s="7"/>
      <x:c r="Z372" s="7"/>
      <x:c r="AA372" s="7"/>
      <x:c r="AB372" s="7"/>
      <x:c r="AC372" s="7"/>
      <x:c r="AD372" s="7"/>
      <x:c r="AE372" s="3"/>
      <x:c r="AF372" s="3"/>
      <x:c r="AG372" s="3"/>
      <x:c r="AH372" s="3"/>
      <x:c r="AI372" s="3"/>
      <x:c r="AJ372" s="9" t="str">
        <x:f>IF(A372="","",A372&amp;"|"&amp;B372)</x:f>
      </x:c>
      <x:c r="AK372" s="9" t="str">
        <x:f>IF(A372="",IF(B372="","","MISSING_TEST_ID"),IF(B372="","MISSING_RUN_ID",IF(COUNTIFS($A$2:$A$501,A372,$B$2:$B$501,B372)&lt;&gt;1,"DUPLICATE_ID","OK")))</x:f>
      </x:c>
      <x:c r="AL372" s="9" t="str">
        <x:f>IF(A372="","",IF(AND(AK372="OK",J372="READY",F372&lt;&gt;"",G372&lt;&gt;"",K372&lt;&gt;"",OR(L372="PASS",L372="FAIL"),M372&lt;&gt;"",P372="social-publication-v2"),"YES","NO"))</x:f>
      </x:c>
      <x:c r="AM372" s="9" t="str">
        <x:f>IF(A372="","",IF(AND(AK372="OK",J372="READY",F372&lt;&gt;"",G372&lt;&gt;"",K372&lt;&gt;"",S372="OK",OR(R372="PASS",R372="FAIL")),"YES","NO"))</x:f>
      </x:c>
      <x:c r="AN372" s="9" t="str">
        <x:f>IF(A372="","",F372&amp;" | "&amp;G372&amp;" | "&amp;H372&amp;" | "&amp;I372)</x:f>
      </x:c>
    </x:row>
    <x:row r="373" ht="33" customHeight="1">
      <x:c r="A373" s="3"/>
      <x:c r="B373" s="3"/>
      <x:c r="C373" s="3"/>
      <x:c r="D373" s="3"/>
      <x:c r="E373" s="3"/>
      <x:c r="F373" s="3"/>
      <x:c r="G373" s="3"/>
      <x:c r="H373" s="3"/>
      <x:c r="I373" s="3"/>
      <x:c r="J373" s="3"/>
      <x:c r="K373" s="3"/>
      <x:c r="L373" s="6"/>
      <x:c r="M373" s="6"/>
      <x:c r="N373" s="6"/>
      <x:c r="O373" s="6"/>
      <x:c r="P373" s="6"/>
      <x:c r="Q373" s="7"/>
      <x:c r="R373" s="7"/>
      <x:c r="S373" s="7"/>
      <x:c r="T373" s="7"/>
      <x:c r="U373" s="7"/>
      <x:c r="V373" s="7"/>
      <x:c r="W373" s="7"/>
      <x:c r="X373" s="7"/>
      <x:c r="Y373" s="7"/>
      <x:c r="Z373" s="7"/>
      <x:c r="AA373" s="7"/>
      <x:c r="AB373" s="7"/>
      <x:c r="AC373" s="7"/>
      <x:c r="AD373" s="7"/>
      <x:c r="AE373" s="3"/>
      <x:c r="AF373" s="3"/>
      <x:c r="AG373" s="3"/>
      <x:c r="AH373" s="3"/>
      <x:c r="AI373" s="3"/>
      <x:c r="AJ373" s="9" t="str">
        <x:f>IF(A373="","",A373&amp;"|"&amp;B373)</x:f>
      </x:c>
      <x:c r="AK373" s="9" t="str">
        <x:f>IF(A373="",IF(B373="","","MISSING_TEST_ID"),IF(B373="","MISSING_RUN_ID",IF(COUNTIFS($A$2:$A$501,A373,$B$2:$B$501,B373)&lt;&gt;1,"DUPLICATE_ID","OK")))</x:f>
      </x:c>
      <x:c r="AL373" s="9" t="str">
        <x:f>IF(A373="","",IF(AND(AK373="OK",J373="READY",F373&lt;&gt;"",G373&lt;&gt;"",K373&lt;&gt;"",OR(L373="PASS",L373="FAIL"),M373&lt;&gt;"",P373="social-publication-v2"),"YES","NO"))</x:f>
      </x:c>
      <x:c r="AM373" s="9" t="str">
        <x:f>IF(A373="","",IF(AND(AK373="OK",J373="READY",F373&lt;&gt;"",G373&lt;&gt;"",K373&lt;&gt;"",S373="OK",OR(R373="PASS",R373="FAIL")),"YES","NO"))</x:f>
      </x:c>
      <x:c r="AN373" s="9" t="str">
        <x:f>IF(A373="","",F373&amp;" | "&amp;G373&amp;" | "&amp;H373&amp;" | "&amp;I373)</x:f>
      </x:c>
    </x:row>
    <x:row r="374" ht="33" customHeight="1">
      <x:c r="A374" s="3"/>
      <x:c r="B374" s="3"/>
      <x:c r="C374" s="3"/>
      <x:c r="D374" s="3"/>
      <x:c r="E374" s="3"/>
      <x:c r="F374" s="3"/>
      <x:c r="G374" s="3"/>
      <x:c r="H374" s="3"/>
      <x:c r="I374" s="3"/>
      <x:c r="J374" s="3"/>
      <x:c r="K374" s="3"/>
      <x:c r="L374" s="6"/>
      <x:c r="M374" s="6"/>
      <x:c r="N374" s="6"/>
      <x:c r="O374" s="6"/>
      <x:c r="P374" s="6"/>
      <x:c r="Q374" s="7"/>
      <x:c r="R374" s="7"/>
      <x:c r="S374" s="7"/>
      <x:c r="T374" s="7"/>
      <x:c r="U374" s="7"/>
      <x:c r="V374" s="7"/>
      <x:c r="W374" s="7"/>
      <x:c r="X374" s="7"/>
      <x:c r="Y374" s="7"/>
      <x:c r="Z374" s="7"/>
      <x:c r="AA374" s="7"/>
      <x:c r="AB374" s="7"/>
      <x:c r="AC374" s="7"/>
      <x:c r="AD374" s="7"/>
      <x:c r="AE374" s="3"/>
      <x:c r="AF374" s="3"/>
      <x:c r="AG374" s="3"/>
      <x:c r="AH374" s="3"/>
      <x:c r="AI374" s="3"/>
      <x:c r="AJ374" s="9" t="str">
        <x:f>IF(A374="","",A374&amp;"|"&amp;B374)</x:f>
      </x:c>
      <x:c r="AK374" s="9" t="str">
        <x:f>IF(A374="",IF(B374="","","MISSING_TEST_ID"),IF(B374="","MISSING_RUN_ID",IF(COUNTIFS($A$2:$A$501,A374,$B$2:$B$501,B374)&lt;&gt;1,"DUPLICATE_ID","OK")))</x:f>
      </x:c>
      <x:c r="AL374" s="9" t="str">
        <x:f>IF(A374="","",IF(AND(AK374="OK",J374="READY",F374&lt;&gt;"",G374&lt;&gt;"",K374&lt;&gt;"",OR(L374="PASS",L374="FAIL"),M374&lt;&gt;"",P374="social-publication-v2"),"YES","NO"))</x:f>
      </x:c>
      <x:c r="AM374" s="9" t="str">
        <x:f>IF(A374="","",IF(AND(AK374="OK",J374="READY",F374&lt;&gt;"",G374&lt;&gt;"",K374&lt;&gt;"",S374="OK",OR(R374="PASS",R374="FAIL")),"YES","NO"))</x:f>
      </x:c>
      <x:c r="AN374" s="9" t="str">
        <x:f>IF(A374="","",F374&amp;" | "&amp;G374&amp;" | "&amp;H374&amp;" | "&amp;I374)</x:f>
      </x:c>
    </x:row>
    <x:row r="375" ht="33" customHeight="1">
      <x:c r="A375" s="3"/>
      <x:c r="B375" s="3"/>
      <x:c r="C375" s="3"/>
      <x:c r="D375" s="3"/>
      <x:c r="E375" s="3"/>
      <x:c r="F375" s="3"/>
      <x:c r="G375" s="3"/>
      <x:c r="H375" s="3"/>
      <x:c r="I375" s="3"/>
      <x:c r="J375" s="3"/>
      <x:c r="K375" s="3"/>
      <x:c r="L375" s="6"/>
      <x:c r="M375" s="6"/>
      <x:c r="N375" s="6"/>
      <x:c r="O375" s="6"/>
      <x:c r="P375" s="6"/>
      <x:c r="Q375" s="7"/>
      <x:c r="R375" s="7"/>
      <x:c r="S375" s="7"/>
      <x:c r="T375" s="7"/>
      <x:c r="U375" s="7"/>
      <x:c r="V375" s="7"/>
      <x:c r="W375" s="7"/>
      <x:c r="X375" s="7"/>
      <x:c r="Y375" s="7"/>
      <x:c r="Z375" s="7"/>
      <x:c r="AA375" s="7"/>
      <x:c r="AB375" s="7"/>
      <x:c r="AC375" s="7"/>
      <x:c r="AD375" s="7"/>
      <x:c r="AE375" s="3"/>
      <x:c r="AF375" s="3"/>
      <x:c r="AG375" s="3"/>
      <x:c r="AH375" s="3"/>
      <x:c r="AI375" s="3"/>
      <x:c r="AJ375" s="9" t="str">
        <x:f>IF(A375="","",A375&amp;"|"&amp;B375)</x:f>
      </x:c>
      <x:c r="AK375" s="9" t="str">
        <x:f>IF(A375="",IF(B375="","","MISSING_TEST_ID"),IF(B375="","MISSING_RUN_ID",IF(COUNTIFS($A$2:$A$501,A375,$B$2:$B$501,B375)&lt;&gt;1,"DUPLICATE_ID","OK")))</x:f>
      </x:c>
      <x:c r="AL375" s="9" t="str">
        <x:f>IF(A375="","",IF(AND(AK375="OK",J375="READY",F375&lt;&gt;"",G375&lt;&gt;"",K375&lt;&gt;"",OR(L375="PASS",L375="FAIL"),M375&lt;&gt;"",P375="social-publication-v2"),"YES","NO"))</x:f>
      </x:c>
      <x:c r="AM375" s="9" t="str">
        <x:f>IF(A375="","",IF(AND(AK375="OK",J375="READY",F375&lt;&gt;"",G375&lt;&gt;"",K375&lt;&gt;"",S375="OK",OR(R375="PASS",R375="FAIL")),"YES","NO"))</x:f>
      </x:c>
      <x:c r="AN375" s="9" t="str">
        <x:f>IF(A375="","",F375&amp;" | "&amp;G375&amp;" | "&amp;H375&amp;" | "&amp;I375)</x:f>
      </x:c>
    </x:row>
    <x:row r="376" ht="33" customHeight="1">
      <x:c r="A376" s="3"/>
      <x:c r="B376" s="3"/>
      <x:c r="C376" s="3"/>
      <x:c r="D376" s="3"/>
      <x:c r="E376" s="3"/>
      <x:c r="F376" s="3"/>
      <x:c r="G376" s="3"/>
      <x:c r="H376" s="3"/>
      <x:c r="I376" s="3"/>
      <x:c r="J376" s="3"/>
      <x:c r="K376" s="3"/>
      <x:c r="L376" s="6"/>
      <x:c r="M376" s="6"/>
      <x:c r="N376" s="6"/>
      <x:c r="O376" s="6"/>
      <x:c r="P376" s="6"/>
      <x:c r="Q376" s="7"/>
      <x:c r="R376" s="7"/>
      <x:c r="S376" s="7"/>
      <x:c r="T376" s="7"/>
      <x:c r="U376" s="7"/>
      <x:c r="V376" s="7"/>
      <x:c r="W376" s="7"/>
      <x:c r="X376" s="7"/>
      <x:c r="Y376" s="7"/>
      <x:c r="Z376" s="7"/>
      <x:c r="AA376" s="7"/>
      <x:c r="AB376" s="7"/>
      <x:c r="AC376" s="7"/>
      <x:c r="AD376" s="7"/>
      <x:c r="AE376" s="3"/>
      <x:c r="AF376" s="3"/>
      <x:c r="AG376" s="3"/>
      <x:c r="AH376" s="3"/>
      <x:c r="AI376" s="3"/>
      <x:c r="AJ376" s="9" t="str">
        <x:f>IF(A376="","",A376&amp;"|"&amp;B376)</x:f>
      </x:c>
      <x:c r="AK376" s="9" t="str">
        <x:f>IF(A376="",IF(B376="","","MISSING_TEST_ID"),IF(B376="","MISSING_RUN_ID",IF(COUNTIFS($A$2:$A$501,A376,$B$2:$B$501,B376)&lt;&gt;1,"DUPLICATE_ID","OK")))</x:f>
      </x:c>
      <x:c r="AL376" s="9" t="str">
        <x:f>IF(A376="","",IF(AND(AK376="OK",J376="READY",F376&lt;&gt;"",G376&lt;&gt;"",K376&lt;&gt;"",OR(L376="PASS",L376="FAIL"),M376&lt;&gt;"",P376="social-publication-v2"),"YES","NO"))</x:f>
      </x:c>
      <x:c r="AM376" s="9" t="str">
        <x:f>IF(A376="","",IF(AND(AK376="OK",J376="READY",F376&lt;&gt;"",G376&lt;&gt;"",K376&lt;&gt;"",S376="OK",OR(R376="PASS",R376="FAIL")),"YES","NO"))</x:f>
      </x:c>
      <x:c r="AN376" s="9" t="str">
        <x:f>IF(A376="","",F376&amp;" | "&amp;G376&amp;" | "&amp;H376&amp;" | "&amp;I376)</x:f>
      </x:c>
    </x:row>
    <x:row r="377" ht="33" customHeight="1">
      <x:c r="A377" s="3"/>
      <x:c r="B377" s="3"/>
      <x:c r="C377" s="3"/>
      <x:c r="D377" s="3"/>
      <x:c r="E377" s="3"/>
      <x:c r="F377" s="3"/>
      <x:c r="G377" s="3"/>
      <x:c r="H377" s="3"/>
      <x:c r="I377" s="3"/>
      <x:c r="J377" s="3"/>
      <x:c r="K377" s="3"/>
      <x:c r="L377" s="6"/>
      <x:c r="M377" s="6"/>
      <x:c r="N377" s="6"/>
      <x:c r="O377" s="6"/>
      <x:c r="P377" s="6"/>
      <x:c r="Q377" s="7"/>
      <x:c r="R377" s="7"/>
      <x:c r="S377" s="7"/>
      <x:c r="T377" s="7"/>
      <x:c r="U377" s="7"/>
      <x:c r="V377" s="7"/>
      <x:c r="W377" s="7"/>
      <x:c r="X377" s="7"/>
      <x:c r="Y377" s="7"/>
      <x:c r="Z377" s="7"/>
      <x:c r="AA377" s="7"/>
      <x:c r="AB377" s="7"/>
      <x:c r="AC377" s="7"/>
      <x:c r="AD377" s="7"/>
      <x:c r="AE377" s="3"/>
      <x:c r="AF377" s="3"/>
      <x:c r="AG377" s="3"/>
      <x:c r="AH377" s="3"/>
      <x:c r="AI377" s="3"/>
      <x:c r="AJ377" s="9" t="str">
        <x:f>IF(A377="","",A377&amp;"|"&amp;B377)</x:f>
      </x:c>
      <x:c r="AK377" s="9" t="str">
        <x:f>IF(A377="",IF(B377="","","MISSING_TEST_ID"),IF(B377="","MISSING_RUN_ID",IF(COUNTIFS($A$2:$A$501,A377,$B$2:$B$501,B377)&lt;&gt;1,"DUPLICATE_ID","OK")))</x:f>
      </x:c>
      <x:c r="AL377" s="9" t="str">
        <x:f>IF(A377="","",IF(AND(AK377="OK",J377="READY",F377&lt;&gt;"",G377&lt;&gt;"",K377&lt;&gt;"",OR(L377="PASS",L377="FAIL"),M377&lt;&gt;"",P377="social-publication-v2"),"YES","NO"))</x:f>
      </x:c>
      <x:c r="AM377" s="9" t="str">
        <x:f>IF(A377="","",IF(AND(AK377="OK",J377="READY",F377&lt;&gt;"",G377&lt;&gt;"",K377&lt;&gt;"",S377="OK",OR(R377="PASS",R377="FAIL")),"YES","NO"))</x:f>
      </x:c>
      <x:c r="AN377" s="9" t="str">
        <x:f>IF(A377="","",F377&amp;" | "&amp;G377&amp;" | "&amp;H377&amp;" | "&amp;I377)</x:f>
      </x:c>
    </x:row>
    <x:row r="378" ht="33" customHeight="1">
      <x:c r="A378" s="3"/>
      <x:c r="B378" s="3"/>
      <x:c r="C378" s="3"/>
      <x:c r="D378" s="3"/>
      <x:c r="E378" s="3"/>
      <x:c r="F378" s="3"/>
      <x:c r="G378" s="3"/>
      <x:c r="H378" s="3"/>
      <x:c r="I378" s="3"/>
      <x:c r="J378" s="3"/>
      <x:c r="K378" s="3"/>
      <x:c r="L378" s="6"/>
      <x:c r="M378" s="6"/>
      <x:c r="N378" s="6"/>
      <x:c r="O378" s="6"/>
      <x:c r="P378" s="6"/>
      <x:c r="Q378" s="7"/>
      <x:c r="R378" s="7"/>
      <x:c r="S378" s="7"/>
      <x:c r="T378" s="7"/>
      <x:c r="U378" s="7"/>
      <x:c r="V378" s="7"/>
      <x:c r="W378" s="7"/>
      <x:c r="X378" s="7"/>
      <x:c r="Y378" s="7"/>
      <x:c r="Z378" s="7"/>
      <x:c r="AA378" s="7"/>
      <x:c r="AB378" s="7"/>
      <x:c r="AC378" s="7"/>
      <x:c r="AD378" s="7"/>
      <x:c r="AE378" s="3"/>
      <x:c r="AF378" s="3"/>
      <x:c r="AG378" s="3"/>
      <x:c r="AH378" s="3"/>
      <x:c r="AI378" s="3"/>
      <x:c r="AJ378" s="9" t="str">
        <x:f>IF(A378="","",A378&amp;"|"&amp;B378)</x:f>
      </x:c>
      <x:c r="AK378" s="9" t="str">
        <x:f>IF(A378="",IF(B378="","","MISSING_TEST_ID"),IF(B378="","MISSING_RUN_ID",IF(COUNTIFS($A$2:$A$501,A378,$B$2:$B$501,B378)&lt;&gt;1,"DUPLICATE_ID","OK")))</x:f>
      </x:c>
      <x:c r="AL378" s="9" t="str">
        <x:f>IF(A378="","",IF(AND(AK378="OK",J378="READY",F378&lt;&gt;"",G378&lt;&gt;"",K378&lt;&gt;"",OR(L378="PASS",L378="FAIL"),M378&lt;&gt;"",P378="social-publication-v2"),"YES","NO"))</x:f>
      </x:c>
      <x:c r="AM378" s="9" t="str">
        <x:f>IF(A378="","",IF(AND(AK378="OK",J378="READY",F378&lt;&gt;"",G378&lt;&gt;"",K378&lt;&gt;"",S378="OK",OR(R378="PASS",R378="FAIL")),"YES","NO"))</x:f>
      </x:c>
      <x:c r="AN378" s="9" t="str">
        <x:f>IF(A378="","",F378&amp;" | "&amp;G378&amp;" | "&amp;H378&amp;" | "&amp;I378)</x:f>
      </x:c>
    </x:row>
    <x:row r="379" ht="33" customHeight="1">
      <x:c r="A379" s="3"/>
      <x:c r="B379" s="3"/>
      <x:c r="C379" s="3"/>
      <x:c r="D379" s="3"/>
      <x:c r="E379" s="3"/>
      <x:c r="F379" s="3"/>
      <x:c r="G379" s="3"/>
      <x:c r="H379" s="3"/>
      <x:c r="I379" s="3"/>
      <x:c r="J379" s="3"/>
      <x:c r="K379" s="3"/>
      <x:c r="L379" s="6"/>
      <x:c r="M379" s="6"/>
      <x:c r="N379" s="6"/>
      <x:c r="O379" s="6"/>
      <x:c r="P379" s="6"/>
      <x:c r="Q379" s="7"/>
      <x:c r="R379" s="7"/>
      <x:c r="S379" s="7"/>
      <x:c r="T379" s="7"/>
      <x:c r="U379" s="7"/>
      <x:c r="V379" s="7"/>
      <x:c r="W379" s="7"/>
      <x:c r="X379" s="7"/>
      <x:c r="Y379" s="7"/>
      <x:c r="Z379" s="7"/>
      <x:c r="AA379" s="7"/>
      <x:c r="AB379" s="7"/>
      <x:c r="AC379" s="7"/>
      <x:c r="AD379" s="7"/>
      <x:c r="AE379" s="3"/>
      <x:c r="AF379" s="3"/>
      <x:c r="AG379" s="3"/>
      <x:c r="AH379" s="3"/>
      <x:c r="AI379" s="3"/>
      <x:c r="AJ379" s="9" t="str">
        <x:f>IF(A379="","",A379&amp;"|"&amp;B379)</x:f>
      </x:c>
      <x:c r="AK379" s="9" t="str">
        <x:f>IF(A379="",IF(B379="","","MISSING_TEST_ID"),IF(B379="","MISSING_RUN_ID",IF(COUNTIFS($A$2:$A$501,A379,$B$2:$B$501,B379)&lt;&gt;1,"DUPLICATE_ID","OK")))</x:f>
      </x:c>
      <x:c r="AL379" s="9" t="str">
        <x:f>IF(A379="","",IF(AND(AK379="OK",J379="READY",F379&lt;&gt;"",G379&lt;&gt;"",K379&lt;&gt;"",OR(L379="PASS",L379="FAIL"),M379&lt;&gt;"",P379="social-publication-v2"),"YES","NO"))</x:f>
      </x:c>
      <x:c r="AM379" s="9" t="str">
        <x:f>IF(A379="","",IF(AND(AK379="OK",J379="READY",F379&lt;&gt;"",G379&lt;&gt;"",K379&lt;&gt;"",S379="OK",OR(R379="PASS",R379="FAIL")),"YES","NO"))</x:f>
      </x:c>
      <x:c r="AN379" s="9" t="str">
        <x:f>IF(A379="","",F379&amp;" | "&amp;G379&amp;" | "&amp;H379&amp;" | "&amp;I379)</x:f>
      </x:c>
    </x:row>
    <x:row r="380" ht="33" customHeight="1">
      <x:c r="A380" s="3"/>
      <x:c r="B380" s="3"/>
      <x:c r="C380" s="3"/>
      <x:c r="D380" s="3"/>
      <x:c r="E380" s="3"/>
      <x:c r="F380" s="3"/>
      <x:c r="G380" s="3"/>
      <x:c r="H380" s="3"/>
      <x:c r="I380" s="3"/>
      <x:c r="J380" s="3"/>
      <x:c r="K380" s="3"/>
      <x:c r="L380" s="6"/>
      <x:c r="M380" s="6"/>
      <x:c r="N380" s="6"/>
      <x:c r="O380" s="6"/>
      <x:c r="P380" s="6"/>
      <x:c r="Q380" s="7"/>
      <x:c r="R380" s="7"/>
      <x:c r="S380" s="7"/>
      <x:c r="T380" s="7"/>
      <x:c r="U380" s="7"/>
      <x:c r="V380" s="7"/>
      <x:c r="W380" s="7"/>
      <x:c r="X380" s="7"/>
      <x:c r="Y380" s="7"/>
      <x:c r="Z380" s="7"/>
      <x:c r="AA380" s="7"/>
      <x:c r="AB380" s="7"/>
      <x:c r="AC380" s="7"/>
      <x:c r="AD380" s="7"/>
      <x:c r="AE380" s="3"/>
      <x:c r="AF380" s="3"/>
      <x:c r="AG380" s="3"/>
      <x:c r="AH380" s="3"/>
      <x:c r="AI380" s="3"/>
      <x:c r="AJ380" s="9" t="str">
        <x:f>IF(A380="","",A380&amp;"|"&amp;B380)</x:f>
      </x:c>
      <x:c r="AK380" s="9" t="str">
        <x:f>IF(A380="",IF(B380="","","MISSING_TEST_ID"),IF(B380="","MISSING_RUN_ID",IF(COUNTIFS($A$2:$A$501,A380,$B$2:$B$501,B380)&lt;&gt;1,"DUPLICATE_ID","OK")))</x:f>
      </x:c>
      <x:c r="AL380" s="9" t="str">
        <x:f>IF(A380="","",IF(AND(AK380="OK",J380="READY",F380&lt;&gt;"",G380&lt;&gt;"",K380&lt;&gt;"",OR(L380="PASS",L380="FAIL"),M380&lt;&gt;"",P380="social-publication-v2"),"YES","NO"))</x:f>
      </x:c>
      <x:c r="AM380" s="9" t="str">
        <x:f>IF(A380="","",IF(AND(AK380="OK",J380="READY",F380&lt;&gt;"",G380&lt;&gt;"",K380&lt;&gt;"",S380="OK",OR(R380="PASS",R380="FAIL")),"YES","NO"))</x:f>
      </x:c>
      <x:c r="AN380" s="9" t="str">
        <x:f>IF(A380="","",F380&amp;" | "&amp;G380&amp;" | "&amp;H380&amp;" | "&amp;I380)</x:f>
      </x:c>
    </x:row>
    <x:row r="381" ht="33" customHeight="1">
      <x:c r="A381" s="3"/>
      <x:c r="B381" s="3"/>
      <x:c r="C381" s="3"/>
      <x:c r="D381" s="3"/>
      <x:c r="E381" s="3"/>
      <x:c r="F381" s="3"/>
      <x:c r="G381" s="3"/>
      <x:c r="H381" s="3"/>
      <x:c r="I381" s="3"/>
      <x:c r="J381" s="3"/>
      <x:c r="K381" s="3"/>
      <x:c r="L381" s="6"/>
      <x:c r="M381" s="6"/>
      <x:c r="N381" s="6"/>
      <x:c r="O381" s="6"/>
      <x:c r="P381" s="6"/>
      <x:c r="Q381" s="7"/>
      <x:c r="R381" s="7"/>
      <x:c r="S381" s="7"/>
      <x:c r="T381" s="7"/>
      <x:c r="U381" s="7"/>
      <x:c r="V381" s="7"/>
      <x:c r="W381" s="7"/>
      <x:c r="X381" s="7"/>
      <x:c r="Y381" s="7"/>
      <x:c r="Z381" s="7"/>
      <x:c r="AA381" s="7"/>
      <x:c r="AB381" s="7"/>
      <x:c r="AC381" s="7"/>
      <x:c r="AD381" s="7"/>
      <x:c r="AE381" s="3"/>
      <x:c r="AF381" s="3"/>
      <x:c r="AG381" s="3"/>
      <x:c r="AH381" s="3"/>
      <x:c r="AI381" s="3"/>
      <x:c r="AJ381" s="9" t="str">
        <x:f>IF(A381="","",A381&amp;"|"&amp;B381)</x:f>
      </x:c>
      <x:c r="AK381" s="9" t="str">
        <x:f>IF(A381="",IF(B381="","","MISSING_TEST_ID"),IF(B381="","MISSING_RUN_ID",IF(COUNTIFS($A$2:$A$501,A381,$B$2:$B$501,B381)&lt;&gt;1,"DUPLICATE_ID","OK")))</x:f>
      </x:c>
      <x:c r="AL381" s="9" t="str">
        <x:f>IF(A381="","",IF(AND(AK381="OK",J381="READY",F381&lt;&gt;"",G381&lt;&gt;"",K381&lt;&gt;"",OR(L381="PASS",L381="FAIL"),M381&lt;&gt;"",P381="social-publication-v2"),"YES","NO"))</x:f>
      </x:c>
      <x:c r="AM381" s="9" t="str">
        <x:f>IF(A381="","",IF(AND(AK381="OK",J381="READY",F381&lt;&gt;"",G381&lt;&gt;"",K381&lt;&gt;"",S381="OK",OR(R381="PASS",R381="FAIL")),"YES","NO"))</x:f>
      </x:c>
      <x:c r="AN381" s="9" t="str">
        <x:f>IF(A381="","",F381&amp;" | "&amp;G381&amp;" | "&amp;H381&amp;" | "&amp;I381)</x:f>
      </x:c>
    </x:row>
    <x:row r="382" ht="33" customHeight="1">
      <x:c r="A382" s="3"/>
      <x:c r="B382" s="3"/>
      <x:c r="C382" s="3"/>
      <x:c r="D382" s="3"/>
      <x:c r="E382" s="3"/>
      <x:c r="F382" s="3"/>
      <x:c r="G382" s="3"/>
      <x:c r="H382" s="3"/>
      <x:c r="I382" s="3"/>
      <x:c r="J382" s="3"/>
      <x:c r="K382" s="3"/>
      <x:c r="L382" s="6"/>
      <x:c r="M382" s="6"/>
      <x:c r="N382" s="6"/>
      <x:c r="O382" s="6"/>
      <x:c r="P382" s="6"/>
      <x:c r="Q382" s="7"/>
      <x:c r="R382" s="7"/>
      <x:c r="S382" s="7"/>
      <x:c r="T382" s="7"/>
      <x:c r="U382" s="7"/>
      <x:c r="V382" s="7"/>
      <x:c r="W382" s="7"/>
      <x:c r="X382" s="7"/>
      <x:c r="Y382" s="7"/>
      <x:c r="Z382" s="7"/>
      <x:c r="AA382" s="7"/>
      <x:c r="AB382" s="7"/>
      <x:c r="AC382" s="7"/>
      <x:c r="AD382" s="7"/>
      <x:c r="AE382" s="3"/>
      <x:c r="AF382" s="3"/>
      <x:c r="AG382" s="3"/>
      <x:c r="AH382" s="3"/>
      <x:c r="AI382" s="3"/>
      <x:c r="AJ382" s="9" t="str">
        <x:f>IF(A382="","",A382&amp;"|"&amp;B382)</x:f>
      </x:c>
      <x:c r="AK382" s="9" t="str">
        <x:f>IF(A382="",IF(B382="","","MISSING_TEST_ID"),IF(B382="","MISSING_RUN_ID",IF(COUNTIFS($A$2:$A$501,A382,$B$2:$B$501,B382)&lt;&gt;1,"DUPLICATE_ID","OK")))</x:f>
      </x:c>
      <x:c r="AL382" s="9" t="str">
        <x:f>IF(A382="","",IF(AND(AK382="OK",J382="READY",F382&lt;&gt;"",G382&lt;&gt;"",K382&lt;&gt;"",OR(L382="PASS",L382="FAIL"),M382&lt;&gt;"",P382="social-publication-v2"),"YES","NO"))</x:f>
      </x:c>
      <x:c r="AM382" s="9" t="str">
        <x:f>IF(A382="","",IF(AND(AK382="OK",J382="READY",F382&lt;&gt;"",G382&lt;&gt;"",K382&lt;&gt;"",S382="OK",OR(R382="PASS",R382="FAIL")),"YES","NO"))</x:f>
      </x:c>
      <x:c r="AN382" s="9" t="str">
        <x:f>IF(A382="","",F382&amp;" | "&amp;G382&amp;" | "&amp;H382&amp;" | "&amp;I382)</x:f>
      </x:c>
    </x:row>
    <x:row r="383" ht="33" customHeight="1">
      <x:c r="A383" s="3"/>
      <x:c r="B383" s="3"/>
      <x:c r="C383" s="3"/>
      <x:c r="D383" s="3"/>
      <x:c r="E383" s="3"/>
      <x:c r="F383" s="3"/>
      <x:c r="G383" s="3"/>
      <x:c r="H383" s="3"/>
      <x:c r="I383" s="3"/>
      <x:c r="J383" s="3"/>
      <x:c r="K383" s="3"/>
      <x:c r="L383" s="6"/>
      <x:c r="M383" s="6"/>
      <x:c r="N383" s="6"/>
      <x:c r="O383" s="6"/>
      <x:c r="P383" s="6"/>
      <x:c r="Q383" s="7"/>
      <x:c r="R383" s="7"/>
      <x:c r="S383" s="7"/>
      <x:c r="T383" s="7"/>
      <x:c r="U383" s="7"/>
      <x:c r="V383" s="7"/>
      <x:c r="W383" s="7"/>
      <x:c r="X383" s="7"/>
      <x:c r="Y383" s="7"/>
      <x:c r="Z383" s="7"/>
      <x:c r="AA383" s="7"/>
      <x:c r="AB383" s="7"/>
      <x:c r="AC383" s="7"/>
      <x:c r="AD383" s="7"/>
      <x:c r="AE383" s="3"/>
      <x:c r="AF383" s="3"/>
      <x:c r="AG383" s="3"/>
      <x:c r="AH383" s="3"/>
      <x:c r="AI383" s="3"/>
      <x:c r="AJ383" s="9" t="str">
        <x:f>IF(A383="","",A383&amp;"|"&amp;B383)</x:f>
      </x:c>
      <x:c r="AK383" s="9" t="str">
        <x:f>IF(A383="",IF(B383="","","MISSING_TEST_ID"),IF(B383="","MISSING_RUN_ID",IF(COUNTIFS($A$2:$A$501,A383,$B$2:$B$501,B383)&lt;&gt;1,"DUPLICATE_ID","OK")))</x:f>
      </x:c>
      <x:c r="AL383" s="9" t="str">
        <x:f>IF(A383="","",IF(AND(AK383="OK",J383="READY",F383&lt;&gt;"",G383&lt;&gt;"",K383&lt;&gt;"",OR(L383="PASS",L383="FAIL"),M383&lt;&gt;"",P383="social-publication-v2"),"YES","NO"))</x:f>
      </x:c>
      <x:c r="AM383" s="9" t="str">
        <x:f>IF(A383="","",IF(AND(AK383="OK",J383="READY",F383&lt;&gt;"",G383&lt;&gt;"",K383&lt;&gt;"",S383="OK",OR(R383="PASS",R383="FAIL")),"YES","NO"))</x:f>
      </x:c>
      <x:c r="AN383" s="9" t="str">
        <x:f>IF(A383="","",F383&amp;" | "&amp;G383&amp;" | "&amp;H383&amp;" | "&amp;I383)</x:f>
      </x:c>
    </x:row>
    <x:row r="384" ht="33" customHeight="1">
      <x:c r="A384" s="3"/>
      <x:c r="B384" s="3"/>
      <x:c r="C384" s="3"/>
      <x:c r="D384" s="3"/>
      <x:c r="E384" s="3"/>
      <x:c r="F384" s="3"/>
      <x:c r="G384" s="3"/>
      <x:c r="H384" s="3"/>
      <x:c r="I384" s="3"/>
      <x:c r="J384" s="3"/>
      <x:c r="K384" s="3"/>
      <x:c r="L384" s="6"/>
      <x:c r="M384" s="6"/>
      <x:c r="N384" s="6"/>
      <x:c r="O384" s="6"/>
      <x:c r="P384" s="6"/>
      <x:c r="Q384" s="7"/>
      <x:c r="R384" s="7"/>
      <x:c r="S384" s="7"/>
      <x:c r="T384" s="7"/>
      <x:c r="U384" s="7"/>
      <x:c r="V384" s="7"/>
      <x:c r="W384" s="7"/>
      <x:c r="X384" s="7"/>
      <x:c r="Y384" s="7"/>
      <x:c r="Z384" s="7"/>
      <x:c r="AA384" s="7"/>
      <x:c r="AB384" s="7"/>
      <x:c r="AC384" s="7"/>
      <x:c r="AD384" s="7"/>
      <x:c r="AE384" s="3"/>
      <x:c r="AF384" s="3"/>
      <x:c r="AG384" s="3"/>
      <x:c r="AH384" s="3"/>
      <x:c r="AI384" s="3"/>
      <x:c r="AJ384" s="9" t="str">
        <x:f>IF(A384="","",A384&amp;"|"&amp;B384)</x:f>
      </x:c>
      <x:c r="AK384" s="9" t="str">
        <x:f>IF(A384="",IF(B384="","","MISSING_TEST_ID"),IF(B384="","MISSING_RUN_ID",IF(COUNTIFS($A$2:$A$501,A384,$B$2:$B$501,B384)&lt;&gt;1,"DUPLICATE_ID","OK")))</x:f>
      </x:c>
      <x:c r="AL384" s="9" t="str">
        <x:f>IF(A384="","",IF(AND(AK384="OK",J384="READY",F384&lt;&gt;"",G384&lt;&gt;"",K384&lt;&gt;"",OR(L384="PASS",L384="FAIL"),M384&lt;&gt;"",P384="social-publication-v2"),"YES","NO"))</x:f>
      </x:c>
      <x:c r="AM384" s="9" t="str">
        <x:f>IF(A384="","",IF(AND(AK384="OK",J384="READY",F384&lt;&gt;"",G384&lt;&gt;"",K384&lt;&gt;"",S384="OK",OR(R384="PASS",R384="FAIL")),"YES","NO"))</x:f>
      </x:c>
      <x:c r="AN384" s="9" t="str">
        <x:f>IF(A384="","",F384&amp;" | "&amp;G384&amp;" | "&amp;H384&amp;" | "&amp;I384)</x:f>
      </x:c>
    </x:row>
    <x:row r="385" ht="33" customHeight="1">
      <x:c r="A385" s="3"/>
      <x:c r="B385" s="3"/>
      <x:c r="C385" s="3"/>
      <x:c r="D385" s="3"/>
      <x:c r="E385" s="3"/>
      <x:c r="F385" s="3"/>
      <x:c r="G385" s="3"/>
      <x:c r="H385" s="3"/>
      <x:c r="I385" s="3"/>
      <x:c r="J385" s="3"/>
      <x:c r="K385" s="3"/>
      <x:c r="L385" s="6"/>
      <x:c r="M385" s="6"/>
      <x:c r="N385" s="6"/>
      <x:c r="O385" s="6"/>
      <x:c r="P385" s="6"/>
      <x:c r="Q385" s="7"/>
      <x:c r="R385" s="7"/>
      <x:c r="S385" s="7"/>
      <x:c r="T385" s="7"/>
      <x:c r="U385" s="7"/>
      <x:c r="V385" s="7"/>
      <x:c r="W385" s="7"/>
      <x:c r="X385" s="7"/>
      <x:c r="Y385" s="7"/>
      <x:c r="Z385" s="7"/>
      <x:c r="AA385" s="7"/>
      <x:c r="AB385" s="7"/>
      <x:c r="AC385" s="7"/>
      <x:c r="AD385" s="7"/>
      <x:c r="AE385" s="3"/>
      <x:c r="AF385" s="3"/>
      <x:c r="AG385" s="3"/>
      <x:c r="AH385" s="3"/>
      <x:c r="AI385" s="3"/>
      <x:c r="AJ385" s="9" t="str">
        <x:f>IF(A385="","",A385&amp;"|"&amp;B385)</x:f>
      </x:c>
      <x:c r="AK385" s="9" t="str">
        <x:f>IF(A385="",IF(B385="","","MISSING_TEST_ID"),IF(B385="","MISSING_RUN_ID",IF(COUNTIFS($A$2:$A$501,A385,$B$2:$B$501,B385)&lt;&gt;1,"DUPLICATE_ID","OK")))</x:f>
      </x:c>
      <x:c r="AL385" s="9" t="str">
        <x:f>IF(A385="","",IF(AND(AK385="OK",J385="READY",F385&lt;&gt;"",G385&lt;&gt;"",K385&lt;&gt;"",OR(L385="PASS",L385="FAIL"),M385&lt;&gt;"",P385="social-publication-v2"),"YES","NO"))</x:f>
      </x:c>
      <x:c r="AM385" s="9" t="str">
        <x:f>IF(A385="","",IF(AND(AK385="OK",J385="READY",F385&lt;&gt;"",G385&lt;&gt;"",K385&lt;&gt;"",S385="OK",OR(R385="PASS",R385="FAIL")),"YES","NO"))</x:f>
      </x:c>
      <x:c r="AN385" s="9" t="str">
        <x:f>IF(A385="","",F385&amp;" | "&amp;G385&amp;" | "&amp;H385&amp;" | "&amp;I385)</x:f>
      </x:c>
    </x:row>
    <x:row r="386" ht="33" customHeight="1">
      <x:c r="A386" s="3"/>
      <x:c r="B386" s="3"/>
      <x:c r="C386" s="3"/>
      <x:c r="D386" s="3"/>
      <x:c r="E386" s="3"/>
      <x:c r="F386" s="3"/>
      <x:c r="G386" s="3"/>
      <x:c r="H386" s="3"/>
      <x:c r="I386" s="3"/>
      <x:c r="J386" s="3"/>
      <x:c r="K386" s="3"/>
      <x:c r="L386" s="6"/>
      <x:c r="M386" s="6"/>
      <x:c r="N386" s="6"/>
      <x:c r="O386" s="6"/>
      <x:c r="P386" s="6"/>
      <x:c r="Q386" s="7"/>
      <x:c r="R386" s="7"/>
      <x:c r="S386" s="7"/>
      <x:c r="T386" s="7"/>
      <x:c r="U386" s="7"/>
      <x:c r="V386" s="7"/>
      <x:c r="W386" s="7"/>
      <x:c r="X386" s="7"/>
      <x:c r="Y386" s="7"/>
      <x:c r="Z386" s="7"/>
      <x:c r="AA386" s="7"/>
      <x:c r="AB386" s="7"/>
      <x:c r="AC386" s="7"/>
      <x:c r="AD386" s="7"/>
      <x:c r="AE386" s="3"/>
      <x:c r="AF386" s="3"/>
      <x:c r="AG386" s="3"/>
      <x:c r="AH386" s="3"/>
      <x:c r="AI386" s="3"/>
      <x:c r="AJ386" s="9" t="str">
        <x:f>IF(A386="","",A386&amp;"|"&amp;B386)</x:f>
      </x:c>
      <x:c r="AK386" s="9" t="str">
        <x:f>IF(A386="",IF(B386="","","MISSING_TEST_ID"),IF(B386="","MISSING_RUN_ID",IF(COUNTIFS($A$2:$A$501,A386,$B$2:$B$501,B386)&lt;&gt;1,"DUPLICATE_ID","OK")))</x:f>
      </x:c>
      <x:c r="AL386" s="9" t="str">
        <x:f>IF(A386="","",IF(AND(AK386="OK",J386="READY",F386&lt;&gt;"",G386&lt;&gt;"",K386&lt;&gt;"",OR(L386="PASS",L386="FAIL"),M386&lt;&gt;"",P386="social-publication-v2"),"YES","NO"))</x:f>
      </x:c>
      <x:c r="AM386" s="9" t="str">
        <x:f>IF(A386="","",IF(AND(AK386="OK",J386="READY",F386&lt;&gt;"",G386&lt;&gt;"",K386&lt;&gt;"",S386="OK",OR(R386="PASS",R386="FAIL")),"YES","NO"))</x:f>
      </x:c>
      <x:c r="AN386" s="9" t="str">
        <x:f>IF(A386="","",F386&amp;" | "&amp;G386&amp;" | "&amp;H386&amp;" | "&amp;I386)</x:f>
      </x:c>
    </x:row>
    <x:row r="387" ht="33" customHeight="1">
      <x:c r="A387" s="3"/>
      <x:c r="B387" s="3"/>
      <x:c r="C387" s="3"/>
      <x:c r="D387" s="3"/>
      <x:c r="E387" s="3"/>
      <x:c r="F387" s="3"/>
      <x:c r="G387" s="3"/>
      <x:c r="H387" s="3"/>
      <x:c r="I387" s="3"/>
      <x:c r="J387" s="3"/>
      <x:c r="K387" s="3"/>
      <x:c r="L387" s="6"/>
      <x:c r="M387" s="6"/>
      <x:c r="N387" s="6"/>
      <x:c r="O387" s="6"/>
      <x:c r="P387" s="6"/>
      <x:c r="Q387" s="7"/>
      <x:c r="R387" s="7"/>
      <x:c r="S387" s="7"/>
      <x:c r="T387" s="7"/>
      <x:c r="U387" s="7"/>
      <x:c r="V387" s="7"/>
      <x:c r="W387" s="7"/>
      <x:c r="X387" s="7"/>
      <x:c r="Y387" s="7"/>
      <x:c r="Z387" s="7"/>
      <x:c r="AA387" s="7"/>
      <x:c r="AB387" s="7"/>
      <x:c r="AC387" s="7"/>
      <x:c r="AD387" s="7"/>
      <x:c r="AE387" s="3"/>
      <x:c r="AF387" s="3"/>
      <x:c r="AG387" s="3"/>
      <x:c r="AH387" s="3"/>
      <x:c r="AI387" s="3"/>
      <x:c r="AJ387" s="9" t="str">
        <x:f>IF(A387="","",A387&amp;"|"&amp;B387)</x:f>
      </x:c>
      <x:c r="AK387" s="9" t="str">
        <x:f>IF(A387="",IF(B387="","","MISSING_TEST_ID"),IF(B387="","MISSING_RUN_ID",IF(COUNTIFS($A$2:$A$501,A387,$B$2:$B$501,B387)&lt;&gt;1,"DUPLICATE_ID","OK")))</x:f>
      </x:c>
      <x:c r="AL387" s="9" t="str">
        <x:f>IF(A387="","",IF(AND(AK387="OK",J387="READY",F387&lt;&gt;"",G387&lt;&gt;"",K387&lt;&gt;"",OR(L387="PASS",L387="FAIL"),M387&lt;&gt;"",P387="social-publication-v2"),"YES","NO"))</x:f>
      </x:c>
      <x:c r="AM387" s="9" t="str">
        <x:f>IF(A387="","",IF(AND(AK387="OK",J387="READY",F387&lt;&gt;"",G387&lt;&gt;"",K387&lt;&gt;"",S387="OK",OR(R387="PASS",R387="FAIL")),"YES","NO"))</x:f>
      </x:c>
      <x:c r="AN387" s="9" t="str">
        <x:f>IF(A387="","",F387&amp;" | "&amp;G387&amp;" | "&amp;H387&amp;" | "&amp;I387)</x:f>
      </x:c>
    </x:row>
    <x:row r="388" ht="33" customHeight="1">
      <x:c r="A388" s="3"/>
      <x:c r="B388" s="3"/>
      <x:c r="C388" s="3"/>
      <x:c r="D388" s="3"/>
      <x:c r="E388" s="3"/>
      <x:c r="F388" s="3"/>
      <x:c r="G388" s="3"/>
      <x:c r="H388" s="3"/>
      <x:c r="I388" s="3"/>
      <x:c r="J388" s="3"/>
      <x:c r="K388" s="3"/>
      <x:c r="L388" s="6"/>
      <x:c r="M388" s="6"/>
      <x:c r="N388" s="6"/>
      <x:c r="O388" s="6"/>
      <x:c r="P388" s="6"/>
      <x:c r="Q388" s="7"/>
      <x:c r="R388" s="7"/>
      <x:c r="S388" s="7"/>
      <x:c r="T388" s="7"/>
      <x:c r="U388" s="7"/>
      <x:c r="V388" s="7"/>
      <x:c r="W388" s="7"/>
      <x:c r="X388" s="7"/>
      <x:c r="Y388" s="7"/>
      <x:c r="Z388" s="7"/>
      <x:c r="AA388" s="7"/>
      <x:c r="AB388" s="7"/>
      <x:c r="AC388" s="7"/>
      <x:c r="AD388" s="7"/>
      <x:c r="AE388" s="3"/>
      <x:c r="AF388" s="3"/>
      <x:c r="AG388" s="3"/>
      <x:c r="AH388" s="3"/>
      <x:c r="AI388" s="3"/>
      <x:c r="AJ388" s="9" t="str">
        <x:f>IF(A388="","",A388&amp;"|"&amp;B388)</x:f>
      </x:c>
      <x:c r="AK388" s="9" t="str">
        <x:f>IF(A388="",IF(B388="","","MISSING_TEST_ID"),IF(B388="","MISSING_RUN_ID",IF(COUNTIFS($A$2:$A$501,A388,$B$2:$B$501,B388)&lt;&gt;1,"DUPLICATE_ID","OK")))</x:f>
      </x:c>
      <x:c r="AL388" s="9" t="str">
        <x:f>IF(A388="","",IF(AND(AK388="OK",J388="READY",F388&lt;&gt;"",G388&lt;&gt;"",K388&lt;&gt;"",OR(L388="PASS",L388="FAIL"),M388&lt;&gt;"",P388="social-publication-v2"),"YES","NO"))</x:f>
      </x:c>
      <x:c r="AM388" s="9" t="str">
        <x:f>IF(A388="","",IF(AND(AK388="OK",J388="READY",F388&lt;&gt;"",G388&lt;&gt;"",K388&lt;&gt;"",S388="OK",OR(R388="PASS",R388="FAIL")),"YES","NO"))</x:f>
      </x:c>
      <x:c r="AN388" s="9" t="str">
        <x:f>IF(A388="","",F388&amp;" | "&amp;G388&amp;" | "&amp;H388&amp;" | "&amp;I388)</x:f>
      </x:c>
    </x:row>
    <x:row r="389" ht="33" customHeight="1">
      <x:c r="A389" s="3"/>
      <x:c r="B389" s="3"/>
      <x:c r="C389" s="3"/>
      <x:c r="D389" s="3"/>
      <x:c r="E389" s="3"/>
      <x:c r="F389" s="3"/>
      <x:c r="G389" s="3"/>
      <x:c r="H389" s="3"/>
      <x:c r="I389" s="3"/>
      <x:c r="J389" s="3"/>
      <x:c r="K389" s="3"/>
      <x:c r="L389" s="6"/>
      <x:c r="M389" s="6"/>
      <x:c r="N389" s="6"/>
      <x:c r="O389" s="6"/>
      <x:c r="P389" s="6"/>
      <x:c r="Q389" s="7"/>
      <x:c r="R389" s="7"/>
      <x:c r="S389" s="7"/>
      <x:c r="T389" s="7"/>
      <x:c r="U389" s="7"/>
      <x:c r="V389" s="7"/>
      <x:c r="W389" s="7"/>
      <x:c r="X389" s="7"/>
      <x:c r="Y389" s="7"/>
      <x:c r="Z389" s="7"/>
      <x:c r="AA389" s="7"/>
      <x:c r="AB389" s="7"/>
      <x:c r="AC389" s="7"/>
      <x:c r="AD389" s="7"/>
      <x:c r="AE389" s="3"/>
      <x:c r="AF389" s="3"/>
      <x:c r="AG389" s="3"/>
      <x:c r="AH389" s="3"/>
      <x:c r="AI389" s="3"/>
      <x:c r="AJ389" s="9" t="str">
        <x:f>IF(A389="","",A389&amp;"|"&amp;B389)</x:f>
      </x:c>
      <x:c r="AK389" s="9" t="str">
        <x:f>IF(A389="",IF(B389="","","MISSING_TEST_ID"),IF(B389="","MISSING_RUN_ID",IF(COUNTIFS($A$2:$A$501,A389,$B$2:$B$501,B389)&lt;&gt;1,"DUPLICATE_ID","OK")))</x:f>
      </x:c>
      <x:c r="AL389" s="9" t="str">
        <x:f>IF(A389="","",IF(AND(AK389="OK",J389="READY",F389&lt;&gt;"",G389&lt;&gt;"",K389&lt;&gt;"",OR(L389="PASS",L389="FAIL"),M389&lt;&gt;"",P389="social-publication-v2"),"YES","NO"))</x:f>
      </x:c>
      <x:c r="AM389" s="9" t="str">
        <x:f>IF(A389="","",IF(AND(AK389="OK",J389="READY",F389&lt;&gt;"",G389&lt;&gt;"",K389&lt;&gt;"",S389="OK",OR(R389="PASS",R389="FAIL")),"YES","NO"))</x:f>
      </x:c>
      <x:c r="AN389" s="9" t="str">
        <x:f>IF(A389="","",F389&amp;" | "&amp;G389&amp;" | "&amp;H389&amp;" | "&amp;I389)</x:f>
      </x:c>
    </x:row>
    <x:row r="390" ht="33" customHeight="1">
      <x:c r="A390" s="3"/>
      <x:c r="B390" s="3"/>
      <x:c r="C390" s="3"/>
      <x:c r="D390" s="3"/>
      <x:c r="E390" s="3"/>
      <x:c r="F390" s="3"/>
      <x:c r="G390" s="3"/>
      <x:c r="H390" s="3"/>
      <x:c r="I390" s="3"/>
      <x:c r="J390" s="3"/>
      <x:c r="K390" s="3"/>
      <x:c r="L390" s="6"/>
      <x:c r="M390" s="6"/>
      <x:c r="N390" s="6"/>
      <x:c r="O390" s="6"/>
      <x:c r="P390" s="6"/>
      <x:c r="Q390" s="7"/>
      <x:c r="R390" s="7"/>
      <x:c r="S390" s="7"/>
      <x:c r="T390" s="7"/>
      <x:c r="U390" s="7"/>
      <x:c r="V390" s="7"/>
      <x:c r="W390" s="7"/>
      <x:c r="X390" s="7"/>
      <x:c r="Y390" s="7"/>
      <x:c r="Z390" s="7"/>
      <x:c r="AA390" s="7"/>
      <x:c r="AB390" s="7"/>
      <x:c r="AC390" s="7"/>
      <x:c r="AD390" s="7"/>
      <x:c r="AE390" s="3"/>
      <x:c r="AF390" s="3"/>
      <x:c r="AG390" s="3"/>
      <x:c r="AH390" s="3"/>
      <x:c r="AI390" s="3"/>
      <x:c r="AJ390" s="9" t="str">
        <x:f>IF(A390="","",A390&amp;"|"&amp;B390)</x:f>
      </x:c>
      <x:c r="AK390" s="9" t="str">
        <x:f>IF(A390="",IF(B390="","","MISSING_TEST_ID"),IF(B390="","MISSING_RUN_ID",IF(COUNTIFS($A$2:$A$501,A390,$B$2:$B$501,B390)&lt;&gt;1,"DUPLICATE_ID","OK")))</x:f>
      </x:c>
      <x:c r="AL390" s="9" t="str">
        <x:f>IF(A390="","",IF(AND(AK390="OK",J390="READY",F390&lt;&gt;"",G390&lt;&gt;"",K390&lt;&gt;"",OR(L390="PASS",L390="FAIL"),M390&lt;&gt;"",P390="social-publication-v2"),"YES","NO"))</x:f>
      </x:c>
      <x:c r="AM390" s="9" t="str">
        <x:f>IF(A390="","",IF(AND(AK390="OK",J390="READY",F390&lt;&gt;"",G390&lt;&gt;"",K390&lt;&gt;"",S390="OK",OR(R390="PASS",R390="FAIL")),"YES","NO"))</x:f>
      </x:c>
      <x:c r="AN390" s="9" t="str">
        <x:f>IF(A390="","",F390&amp;" | "&amp;G390&amp;" | "&amp;H390&amp;" | "&amp;I390)</x:f>
      </x:c>
    </x:row>
    <x:row r="391" ht="33" customHeight="1">
      <x:c r="A391" s="3"/>
      <x:c r="B391" s="3"/>
      <x:c r="C391" s="3"/>
      <x:c r="D391" s="3"/>
      <x:c r="E391" s="3"/>
      <x:c r="F391" s="3"/>
      <x:c r="G391" s="3"/>
      <x:c r="H391" s="3"/>
      <x:c r="I391" s="3"/>
      <x:c r="J391" s="3"/>
      <x:c r="K391" s="3"/>
      <x:c r="L391" s="6"/>
      <x:c r="M391" s="6"/>
      <x:c r="N391" s="6"/>
      <x:c r="O391" s="6"/>
      <x:c r="P391" s="6"/>
      <x:c r="Q391" s="7"/>
      <x:c r="R391" s="7"/>
      <x:c r="S391" s="7"/>
      <x:c r="T391" s="7"/>
      <x:c r="U391" s="7"/>
      <x:c r="V391" s="7"/>
      <x:c r="W391" s="7"/>
      <x:c r="X391" s="7"/>
      <x:c r="Y391" s="7"/>
      <x:c r="Z391" s="7"/>
      <x:c r="AA391" s="7"/>
      <x:c r="AB391" s="7"/>
      <x:c r="AC391" s="7"/>
      <x:c r="AD391" s="7"/>
      <x:c r="AE391" s="3"/>
      <x:c r="AF391" s="3"/>
      <x:c r="AG391" s="3"/>
      <x:c r="AH391" s="3"/>
      <x:c r="AI391" s="3"/>
      <x:c r="AJ391" s="9" t="str">
        <x:f>IF(A391="","",A391&amp;"|"&amp;B391)</x:f>
      </x:c>
      <x:c r="AK391" s="9" t="str">
        <x:f>IF(A391="",IF(B391="","","MISSING_TEST_ID"),IF(B391="","MISSING_RUN_ID",IF(COUNTIFS($A$2:$A$501,A391,$B$2:$B$501,B391)&lt;&gt;1,"DUPLICATE_ID","OK")))</x:f>
      </x:c>
      <x:c r="AL391" s="9" t="str">
        <x:f>IF(A391="","",IF(AND(AK391="OK",J391="READY",F391&lt;&gt;"",G391&lt;&gt;"",K391&lt;&gt;"",OR(L391="PASS",L391="FAIL"),M391&lt;&gt;"",P391="social-publication-v2"),"YES","NO"))</x:f>
      </x:c>
      <x:c r="AM391" s="9" t="str">
        <x:f>IF(A391="","",IF(AND(AK391="OK",J391="READY",F391&lt;&gt;"",G391&lt;&gt;"",K391&lt;&gt;"",S391="OK",OR(R391="PASS",R391="FAIL")),"YES","NO"))</x:f>
      </x:c>
      <x:c r="AN391" s="9" t="str">
        <x:f>IF(A391="","",F391&amp;" | "&amp;G391&amp;" | "&amp;H391&amp;" | "&amp;I391)</x:f>
      </x:c>
    </x:row>
    <x:row r="392" ht="33" customHeight="1">
      <x:c r="A392" s="3"/>
      <x:c r="B392" s="3"/>
      <x:c r="C392" s="3"/>
      <x:c r="D392" s="3"/>
      <x:c r="E392" s="3"/>
      <x:c r="F392" s="3"/>
      <x:c r="G392" s="3"/>
      <x:c r="H392" s="3"/>
      <x:c r="I392" s="3"/>
      <x:c r="J392" s="3"/>
      <x:c r="K392" s="3"/>
      <x:c r="L392" s="6"/>
      <x:c r="M392" s="6"/>
      <x:c r="N392" s="6"/>
      <x:c r="O392" s="6"/>
      <x:c r="P392" s="6"/>
      <x:c r="Q392" s="7"/>
      <x:c r="R392" s="7"/>
      <x:c r="S392" s="7"/>
      <x:c r="T392" s="7"/>
      <x:c r="U392" s="7"/>
      <x:c r="V392" s="7"/>
      <x:c r="W392" s="7"/>
      <x:c r="X392" s="7"/>
      <x:c r="Y392" s="7"/>
      <x:c r="Z392" s="7"/>
      <x:c r="AA392" s="7"/>
      <x:c r="AB392" s="7"/>
      <x:c r="AC392" s="7"/>
      <x:c r="AD392" s="7"/>
      <x:c r="AE392" s="3"/>
      <x:c r="AF392" s="3"/>
      <x:c r="AG392" s="3"/>
      <x:c r="AH392" s="3"/>
      <x:c r="AI392" s="3"/>
      <x:c r="AJ392" s="9" t="str">
        <x:f>IF(A392="","",A392&amp;"|"&amp;B392)</x:f>
      </x:c>
      <x:c r="AK392" s="9" t="str">
        <x:f>IF(A392="",IF(B392="","","MISSING_TEST_ID"),IF(B392="","MISSING_RUN_ID",IF(COUNTIFS($A$2:$A$501,A392,$B$2:$B$501,B392)&lt;&gt;1,"DUPLICATE_ID","OK")))</x:f>
      </x:c>
      <x:c r="AL392" s="9" t="str">
        <x:f>IF(A392="","",IF(AND(AK392="OK",J392="READY",F392&lt;&gt;"",G392&lt;&gt;"",K392&lt;&gt;"",OR(L392="PASS",L392="FAIL"),M392&lt;&gt;"",P392="social-publication-v2"),"YES","NO"))</x:f>
      </x:c>
      <x:c r="AM392" s="9" t="str">
        <x:f>IF(A392="","",IF(AND(AK392="OK",J392="READY",F392&lt;&gt;"",G392&lt;&gt;"",K392&lt;&gt;"",S392="OK",OR(R392="PASS",R392="FAIL")),"YES","NO"))</x:f>
      </x:c>
      <x:c r="AN392" s="9" t="str">
        <x:f>IF(A392="","",F392&amp;" | "&amp;G392&amp;" | "&amp;H392&amp;" | "&amp;I392)</x:f>
      </x:c>
    </x:row>
    <x:row r="393" ht="33" customHeight="1">
      <x:c r="A393" s="3"/>
      <x:c r="B393" s="3"/>
      <x:c r="C393" s="3"/>
      <x:c r="D393" s="3"/>
      <x:c r="E393" s="3"/>
      <x:c r="F393" s="3"/>
      <x:c r="G393" s="3"/>
      <x:c r="H393" s="3"/>
      <x:c r="I393" s="3"/>
      <x:c r="J393" s="3"/>
      <x:c r="K393" s="3"/>
      <x:c r="L393" s="6"/>
      <x:c r="M393" s="6"/>
      <x:c r="N393" s="6"/>
      <x:c r="O393" s="6"/>
      <x:c r="P393" s="6"/>
      <x:c r="Q393" s="7"/>
      <x:c r="R393" s="7"/>
      <x:c r="S393" s="7"/>
      <x:c r="T393" s="7"/>
      <x:c r="U393" s="7"/>
      <x:c r="V393" s="7"/>
      <x:c r="W393" s="7"/>
      <x:c r="X393" s="7"/>
      <x:c r="Y393" s="7"/>
      <x:c r="Z393" s="7"/>
      <x:c r="AA393" s="7"/>
      <x:c r="AB393" s="7"/>
      <x:c r="AC393" s="7"/>
      <x:c r="AD393" s="7"/>
      <x:c r="AE393" s="3"/>
      <x:c r="AF393" s="3"/>
      <x:c r="AG393" s="3"/>
      <x:c r="AH393" s="3"/>
      <x:c r="AI393" s="3"/>
      <x:c r="AJ393" s="9" t="str">
        <x:f>IF(A393="","",A393&amp;"|"&amp;B393)</x:f>
      </x:c>
      <x:c r="AK393" s="9" t="str">
        <x:f>IF(A393="",IF(B393="","","MISSING_TEST_ID"),IF(B393="","MISSING_RUN_ID",IF(COUNTIFS($A$2:$A$501,A393,$B$2:$B$501,B393)&lt;&gt;1,"DUPLICATE_ID","OK")))</x:f>
      </x:c>
      <x:c r="AL393" s="9" t="str">
        <x:f>IF(A393="","",IF(AND(AK393="OK",J393="READY",F393&lt;&gt;"",G393&lt;&gt;"",K393&lt;&gt;"",OR(L393="PASS",L393="FAIL"),M393&lt;&gt;"",P393="social-publication-v2"),"YES","NO"))</x:f>
      </x:c>
      <x:c r="AM393" s="9" t="str">
        <x:f>IF(A393="","",IF(AND(AK393="OK",J393="READY",F393&lt;&gt;"",G393&lt;&gt;"",K393&lt;&gt;"",S393="OK",OR(R393="PASS",R393="FAIL")),"YES","NO"))</x:f>
      </x:c>
      <x:c r="AN393" s="9" t="str">
        <x:f>IF(A393="","",F393&amp;" | "&amp;G393&amp;" | "&amp;H393&amp;" | "&amp;I393)</x:f>
      </x:c>
    </x:row>
    <x:row r="394" ht="33" customHeight="1">
      <x:c r="A394" s="3"/>
      <x:c r="B394" s="3"/>
      <x:c r="C394" s="3"/>
      <x:c r="D394" s="3"/>
      <x:c r="E394" s="3"/>
      <x:c r="F394" s="3"/>
      <x:c r="G394" s="3"/>
      <x:c r="H394" s="3"/>
      <x:c r="I394" s="3"/>
      <x:c r="J394" s="3"/>
      <x:c r="K394" s="3"/>
      <x:c r="L394" s="6"/>
      <x:c r="M394" s="6"/>
      <x:c r="N394" s="6"/>
      <x:c r="O394" s="6"/>
      <x:c r="P394" s="6"/>
      <x:c r="Q394" s="7"/>
      <x:c r="R394" s="7"/>
      <x:c r="S394" s="7"/>
      <x:c r="T394" s="7"/>
      <x:c r="U394" s="7"/>
      <x:c r="V394" s="7"/>
      <x:c r="W394" s="7"/>
      <x:c r="X394" s="7"/>
      <x:c r="Y394" s="7"/>
      <x:c r="Z394" s="7"/>
      <x:c r="AA394" s="7"/>
      <x:c r="AB394" s="7"/>
      <x:c r="AC394" s="7"/>
      <x:c r="AD394" s="7"/>
      <x:c r="AE394" s="3"/>
      <x:c r="AF394" s="3"/>
      <x:c r="AG394" s="3"/>
      <x:c r="AH394" s="3"/>
      <x:c r="AI394" s="3"/>
      <x:c r="AJ394" s="9" t="str">
        <x:f>IF(A394="","",A394&amp;"|"&amp;B394)</x:f>
      </x:c>
      <x:c r="AK394" s="9" t="str">
        <x:f>IF(A394="",IF(B394="","","MISSING_TEST_ID"),IF(B394="","MISSING_RUN_ID",IF(COUNTIFS($A$2:$A$501,A394,$B$2:$B$501,B394)&lt;&gt;1,"DUPLICATE_ID","OK")))</x:f>
      </x:c>
      <x:c r="AL394" s="9" t="str">
        <x:f>IF(A394="","",IF(AND(AK394="OK",J394="READY",F394&lt;&gt;"",G394&lt;&gt;"",K394&lt;&gt;"",OR(L394="PASS",L394="FAIL"),M394&lt;&gt;"",P394="social-publication-v2"),"YES","NO"))</x:f>
      </x:c>
      <x:c r="AM394" s="9" t="str">
        <x:f>IF(A394="","",IF(AND(AK394="OK",J394="READY",F394&lt;&gt;"",G394&lt;&gt;"",K394&lt;&gt;"",S394="OK",OR(R394="PASS",R394="FAIL")),"YES","NO"))</x:f>
      </x:c>
      <x:c r="AN394" s="9" t="str">
        <x:f>IF(A394="","",F394&amp;" | "&amp;G394&amp;" | "&amp;H394&amp;" | "&amp;I394)</x:f>
      </x:c>
    </x:row>
    <x:row r="395" ht="33" customHeight="1">
      <x:c r="A395" s="3"/>
      <x:c r="B395" s="3"/>
      <x:c r="C395" s="3"/>
      <x:c r="D395" s="3"/>
      <x:c r="E395" s="3"/>
      <x:c r="F395" s="3"/>
      <x:c r="G395" s="3"/>
      <x:c r="H395" s="3"/>
      <x:c r="I395" s="3"/>
      <x:c r="J395" s="3"/>
      <x:c r="K395" s="3"/>
      <x:c r="L395" s="6"/>
      <x:c r="M395" s="6"/>
      <x:c r="N395" s="6"/>
      <x:c r="O395" s="6"/>
      <x:c r="P395" s="6"/>
      <x:c r="Q395" s="7"/>
      <x:c r="R395" s="7"/>
      <x:c r="S395" s="7"/>
      <x:c r="T395" s="7"/>
      <x:c r="U395" s="7"/>
      <x:c r="V395" s="7"/>
      <x:c r="W395" s="7"/>
      <x:c r="X395" s="7"/>
      <x:c r="Y395" s="7"/>
      <x:c r="Z395" s="7"/>
      <x:c r="AA395" s="7"/>
      <x:c r="AB395" s="7"/>
      <x:c r="AC395" s="7"/>
      <x:c r="AD395" s="7"/>
      <x:c r="AE395" s="3"/>
      <x:c r="AF395" s="3"/>
      <x:c r="AG395" s="3"/>
      <x:c r="AH395" s="3"/>
      <x:c r="AI395" s="3"/>
      <x:c r="AJ395" s="9" t="str">
        <x:f>IF(A395="","",A395&amp;"|"&amp;B395)</x:f>
      </x:c>
      <x:c r="AK395" s="9" t="str">
        <x:f>IF(A395="",IF(B395="","","MISSING_TEST_ID"),IF(B395="","MISSING_RUN_ID",IF(COUNTIFS($A$2:$A$501,A395,$B$2:$B$501,B395)&lt;&gt;1,"DUPLICATE_ID","OK")))</x:f>
      </x:c>
      <x:c r="AL395" s="9" t="str">
        <x:f>IF(A395="","",IF(AND(AK395="OK",J395="READY",F395&lt;&gt;"",G395&lt;&gt;"",K395&lt;&gt;"",OR(L395="PASS",L395="FAIL"),M395&lt;&gt;"",P395="social-publication-v2"),"YES","NO"))</x:f>
      </x:c>
      <x:c r="AM395" s="9" t="str">
        <x:f>IF(A395="","",IF(AND(AK395="OK",J395="READY",F395&lt;&gt;"",G395&lt;&gt;"",K395&lt;&gt;"",S395="OK",OR(R395="PASS",R395="FAIL")),"YES","NO"))</x:f>
      </x:c>
      <x:c r="AN395" s="9" t="str">
        <x:f>IF(A395="","",F395&amp;" | "&amp;G395&amp;" | "&amp;H395&amp;" | "&amp;I395)</x:f>
      </x:c>
    </x:row>
    <x:row r="396" ht="33" customHeight="1">
      <x:c r="A396" s="3"/>
      <x:c r="B396" s="3"/>
      <x:c r="C396" s="3"/>
      <x:c r="D396" s="3"/>
      <x:c r="E396" s="3"/>
      <x:c r="F396" s="3"/>
      <x:c r="G396" s="3"/>
      <x:c r="H396" s="3"/>
      <x:c r="I396" s="3"/>
      <x:c r="J396" s="3"/>
      <x:c r="K396" s="3"/>
      <x:c r="L396" s="6"/>
      <x:c r="M396" s="6"/>
      <x:c r="N396" s="6"/>
      <x:c r="O396" s="6"/>
      <x:c r="P396" s="6"/>
      <x:c r="Q396" s="7"/>
      <x:c r="R396" s="7"/>
      <x:c r="S396" s="7"/>
      <x:c r="T396" s="7"/>
      <x:c r="U396" s="7"/>
      <x:c r="V396" s="7"/>
      <x:c r="W396" s="7"/>
      <x:c r="X396" s="7"/>
      <x:c r="Y396" s="7"/>
      <x:c r="Z396" s="7"/>
      <x:c r="AA396" s="7"/>
      <x:c r="AB396" s="7"/>
      <x:c r="AC396" s="7"/>
      <x:c r="AD396" s="7"/>
      <x:c r="AE396" s="3"/>
      <x:c r="AF396" s="3"/>
      <x:c r="AG396" s="3"/>
      <x:c r="AH396" s="3"/>
      <x:c r="AI396" s="3"/>
      <x:c r="AJ396" s="9" t="str">
        <x:f>IF(A396="","",A396&amp;"|"&amp;B396)</x:f>
      </x:c>
      <x:c r="AK396" s="9" t="str">
        <x:f>IF(A396="",IF(B396="","","MISSING_TEST_ID"),IF(B396="","MISSING_RUN_ID",IF(COUNTIFS($A$2:$A$501,A396,$B$2:$B$501,B396)&lt;&gt;1,"DUPLICATE_ID","OK")))</x:f>
      </x:c>
      <x:c r="AL396" s="9" t="str">
        <x:f>IF(A396="","",IF(AND(AK396="OK",J396="READY",F396&lt;&gt;"",G396&lt;&gt;"",K396&lt;&gt;"",OR(L396="PASS",L396="FAIL"),M396&lt;&gt;"",P396="social-publication-v2"),"YES","NO"))</x:f>
      </x:c>
      <x:c r="AM396" s="9" t="str">
        <x:f>IF(A396="","",IF(AND(AK396="OK",J396="READY",F396&lt;&gt;"",G396&lt;&gt;"",K396&lt;&gt;"",S396="OK",OR(R396="PASS",R396="FAIL")),"YES","NO"))</x:f>
      </x:c>
      <x:c r="AN396" s="9" t="str">
        <x:f>IF(A396="","",F396&amp;" | "&amp;G396&amp;" | "&amp;H396&amp;" | "&amp;I396)</x:f>
      </x:c>
    </x:row>
    <x:row r="397" ht="33" customHeight="1">
      <x:c r="A397" s="3"/>
      <x:c r="B397" s="3"/>
      <x:c r="C397" s="3"/>
      <x:c r="D397" s="3"/>
      <x:c r="E397" s="3"/>
      <x:c r="F397" s="3"/>
      <x:c r="G397" s="3"/>
      <x:c r="H397" s="3"/>
      <x:c r="I397" s="3"/>
      <x:c r="J397" s="3"/>
      <x:c r="K397" s="3"/>
      <x:c r="L397" s="6"/>
      <x:c r="M397" s="6"/>
      <x:c r="N397" s="6"/>
      <x:c r="O397" s="6"/>
      <x:c r="P397" s="6"/>
      <x:c r="Q397" s="7"/>
      <x:c r="R397" s="7"/>
      <x:c r="S397" s="7"/>
      <x:c r="T397" s="7"/>
      <x:c r="U397" s="7"/>
      <x:c r="V397" s="7"/>
      <x:c r="W397" s="7"/>
      <x:c r="X397" s="7"/>
      <x:c r="Y397" s="7"/>
      <x:c r="Z397" s="7"/>
      <x:c r="AA397" s="7"/>
      <x:c r="AB397" s="7"/>
      <x:c r="AC397" s="7"/>
      <x:c r="AD397" s="7"/>
      <x:c r="AE397" s="3"/>
      <x:c r="AF397" s="3"/>
      <x:c r="AG397" s="3"/>
      <x:c r="AH397" s="3"/>
      <x:c r="AI397" s="3"/>
      <x:c r="AJ397" s="9" t="str">
        <x:f>IF(A397="","",A397&amp;"|"&amp;B397)</x:f>
      </x:c>
      <x:c r="AK397" s="9" t="str">
        <x:f>IF(A397="",IF(B397="","","MISSING_TEST_ID"),IF(B397="","MISSING_RUN_ID",IF(COUNTIFS($A$2:$A$501,A397,$B$2:$B$501,B397)&lt;&gt;1,"DUPLICATE_ID","OK")))</x:f>
      </x:c>
      <x:c r="AL397" s="9" t="str">
        <x:f>IF(A397="","",IF(AND(AK397="OK",J397="READY",F397&lt;&gt;"",G397&lt;&gt;"",K397&lt;&gt;"",OR(L397="PASS",L397="FAIL"),M397&lt;&gt;"",P397="social-publication-v2"),"YES","NO"))</x:f>
      </x:c>
      <x:c r="AM397" s="9" t="str">
        <x:f>IF(A397="","",IF(AND(AK397="OK",J397="READY",F397&lt;&gt;"",G397&lt;&gt;"",K397&lt;&gt;"",S397="OK",OR(R397="PASS",R397="FAIL")),"YES","NO"))</x:f>
      </x:c>
      <x:c r="AN397" s="9" t="str">
        <x:f>IF(A397="","",F397&amp;" | "&amp;G397&amp;" | "&amp;H397&amp;" | "&amp;I397)</x:f>
      </x:c>
    </x:row>
    <x:row r="398" ht="33" customHeight="1">
      <x:c r="A398" s="3"/>
      <x:c r="B398" s="3"/>
      <x:c r="C398" s="3"/>
      <x:c r="D398" s="3"/>
      <x:c r="E398" s="3"/>
      <x:c r="F398" s="3"/>
      <x:c r="G398" s="3"/>
      <x:c r="H398" s="3"/>
      <x:c r="I398" s="3"/>
      <x:c r="J398" s="3"/>
      <x:c r="K398" s="3"/>
      <x:c r="L398" s="6"/>
      <x:c r="M398" s="6"/>
      <x:c r="N398" s="6"/>
      <x:c r="O398" s="6"/>
      <x:c r="P398" s="6"/>
      <x:c r="Q398" s="7"/>
      <x:c r="R398" s="7"/>
      <x:c r="S398" s="7"/>
      <x:c r="T398" s="7"/>
      <x:c r="U398" s="7"/>
      <x:c r="V398" s="7"/>
      <x:c r="W398" s="7"/>
      <x:c r="X398" s="7"/>
      <x:c r="Y398" s="7"/>
      <x:c r="Z398" s="7"/>
      <x:c r="AA398" s="7"/>
      <x:c r="AB398" s="7"/>
      <x:c r="AC398" s="7"/>
      <x:c r="AD398" s="7"/>
      <x:c r="AE398" s="3"/>
      <x:c r="AF398" s="3"/>
      <x:c r="AG398" s="3"/>
      <x:c r="AH398" s="3"/>
      <x:c r="AI398" s="3"/>
      <x:c r="AJ398" s="9" t="str">
        <x:f>IF(A398="","",A398&amp;"|"&amp;B398)</x:f>
      </x:c>
      <x:c r="AK398" s="9" t="str">
        <x:f>IF(A398="",IF(B398="","","MISSING_TEST_ID"),IF(B398="","MISSING_RUN_ID",IF(COUNTIFS($A$2:$A$501,A398,$B$2:$B$501,B398)&lt;&gt;1,"DUPLICATE_ID","OK")))</x:f>
      </x:c>
      <x:c r="AL398" s="9" t="str">
        <x:f>IF(A398="","",IF(AND(AK398="OK",J398="READY",F398&lt;&gt;"",G398&lt;&gt;"",K398&lt;&gt;"",OR(L398="PASS",L398="FAIL"),M398&lt;&gt;"",P398="social-publication-v2"),"YES","NO"))</x:f>
      </x:c>
      <x:c r="AM398" s="9" t="str">
        <x:f>IF(A398="","",IF(AND(AK398="OK",J398="READY",F398&lt;&gt;"",G398&lt;&gt;"",K398&lt;&gt;"",S398="OK",OR(R398="PASS",R398="FAIL")),"YES","NO"))</x:f>
      </x:c>
      <x:c r="AN398" s="9" t="str">
        <x:f>IF(A398="","",F398&amp;" | "&amp;G398&amp;" | "&amp;H398&amp;" | "&amp;I398)</x:f>
      </x:c>
    </x:row>
    <x:row r="399" ht="33" customHeight="1">
      <x:c r="A399" s="3"/>
      <x:c r="B399" s="3"/>
      <x:c r="C399" s="3"/>
      <x:c r="D399" s="3"/>
      <x:c r="E399" s="3"/>
      <x:c r="F399" s="3"/>
      <x:c r="G399" s="3"/>
      <x:c r="H399" s="3"/>
      <x:c r="I399" s="3"/>
      <x:c r="J399" s="3"/>
      <x:c r="K399" s="3"/>
      <x:c r="L399" s="6"/>
      <x:c r="M399" s="6"/>
      <x:c r="N399" s="6"/>
      <x:c r="O399" s="6"/>
      <x:c r="P399" s="6"/>
      <x:c r="Q399" s="7"/>
      <x:c r="R399" s="7"/>
      <x:c r="S399" s="7"/>
      <x:c r="T399" s="7"/>
      <x:c r="U399" s="7"/>
      <x:c r="V399" s="7"/>
      <x:c r="W399" s="7"/>
      <x:c r="X399" s="7"/>
      <x:c r="Y399" s="7"/>
      <x:c r="Z399" s="7"/>
      <x:c r="AA399" s="7"/>
      <x:c r="AB399" s="7"/>
      <x:c r="AC399" s="7"/>
      <x:c r="AD399" s="7"/>
      <x:c r="AE399" s="3"/>
      <x:c r="AF399" s="3"/>
      <x:c r="AG399" s="3"/>
      <x:c r="AH399" s="3"/>
      <x:c r="AI399" s="3"/>
      <x:c r="AJ399" s="9" t="str">
        <x:f>IF(A399="","",A399&amp;"|"&amp;B399)</x:f>
      </x:c>
      <x:c r="AK399" s="9" t="str">
        <x:f>IF(A399="",IF(B399="","","MISSING_TEST_ID"),IF(B399="","MISSING_RUN_ID",IF(COUNTIFS($A$2:$A$501,A399,$B$2:$B$501,B399)&lt;&gt;1,"DUPLICATE_ID","OK")))</x:f>
      </x:c>
      <x:c r="AL399" s="9" t="str">
        <x:f>IF(A399="","",IF(AND(AK399="OK",J399="READY",F399&lt;&gt;"",G399&lt;&gt;"",K399&lt;&gt;"",OR(L399="PASS",L399="FAIL"),M399&lt;&gt;"",P399="social-publication-v2"),"YES","NO"))</x:f>
      </x:c>
      <x:c r="AM399" s="9" t="str">
        <x:f>IF(A399="","",IF(AND(AK399="OK",J399="READY",F399&lt;&gt;"",G399&lt;&gt;"",K399&lt;&gt;"",S399="OK",OR(R399="PASS",R399="FAIL")),"YES","NO"))</x:f>
      </x:c>
      <x:c r="AN399" s="9" t="str">
        <x:f>IF(A399="","",F399&amp;" | "&amp;G399&amp;" | "&amp;H399&amp;" | "&amp;I399)</x:f>
      </x:c>
    </x:row>
    <x:row r="400" ht="33" customHeight="1">
      <x:c r="A400" s="3"/>
      <x:c r="B400" s="3"/>
      <x:c r="C400" s="3"/>
      <x:c r="D400" s="3"/>
      <x:c r="E400" s="3"/>
      <x:c r="F400" s="3"/>
      <x:c r="G400" s="3"/>
      <x:c r="H400" s="3"/>
      <x:c r="I400" s="3"/>
      <x:c r="J400" s="3"/>
      <x:c r="K400" s="3"/>
      <x:c r="L400" s="6"/>
      <x:c r="M400" s="6"/>
      <x:c r="N400" s="6"/>
      <x:c r="O400" s="6"/>
      <x:c r="P400" s="6"/>
      <x:c r="Q400" s="7"/>
      <x:c r="R400" s="7"/>
      <x:c r="S400" s="7"/>
      <x:c r="T400" s="7"/>
      <x:c r="U400" s="7"/>
      <x:c r="V400" s="7"/>
      <x:c r="W400" s="7"/>
      <x:c r="X400" s="7"/>
      <x:c r="Y400" s="7"/>
      <x:c r="Z400" s="7"/>
      <x:c r="AA400" s="7"/>
      <x:c r="AB400" s="7"/>
      <x:c r="AC400" s="7"/>
      <x:c r="AD400" s="7"/>
      <x:c r="AE400" s="3"/>
      <x:c r="AF400" s="3"/>
      <x:c r="AG400" s="3"/>
      <x:c r="AH400" s="3"/>
      <x:c r="AI400" s="3"/>
      <x:c r="AJ400" s="9" t="str">
        <x:f>IF(A400="","",A400&amp;"|"&amp;B400)</x:f>
      </x:c>
      <x:c r="AK400" s="9" t="str">
        <x:f>IF(A400="",IF(B400="","","MISSING_TEST_ID"),IF(B400="","MISSING_RUN_ID",IF(COUNTIFS($A$2:$A$501,A400,$B$2:$B$501,B400)&lt;&gt;1,"DUPLICATE_ID","OK")))</x:f>
      </x:c>
      <x:c r="AL400" s="9" t="str">
        <x:f>IF(A400="","",IF(AND(AK400="OK",J400="READY",F400&lt;&gt;"",G400&lt;&gt;"",K400&lt;&gt;"",OR(L400="PASS",L400="FAIL"),M400&lt;&gt;"",P400="social-publication-v2"),"YES","NO"))</x:f>
      </x:c>
      <x:c r="AM400" s="9" t="str">
        <x:f>IF(A400="","",IF(AND(AK400="OK",J400="READY",F400&lt;&gt;"",G400&lt;&gt;"",K400&lt;&gt;"",S400="OK",OR(R400="PASS",R400="FAIL")),"YES","NO"))</x:f>
      </x:c>
      <x:c r="AN400" s="9" t="str">
        <x:f>IF(A400="","",F400&amp;" | "&amp;G400&amp;" | "&amp;H400&amp;" | "&amp;I400)</x:f>
      </x:c>
    </x:row>
    <x:row r="401" ht="33" customHeight="1">
      <x:c r="A401" s="3"/>
      <x:c r="B401" s="3"/>
      <x:c r="C401" s="3"/>
      <x:c r="D401" s="3"/>
      <x:c r="E401" s="3"/>
      <x:c r="F401" s="3"/>
      <x:c r="G401" s="3"/>
      <x:c r="H401" s="3"/>
      <x:c r="I401" s="3"/>
      <x:c r="J401" s="3"/>
      <x:c r="K401" s="3"/>
      <x:c r="L401" s="6"/>
      <x:c r="M401" s="6"/>
      <x:c r="N401" s="6"/>
      <x:c r="O401" s="6"/>
      <x:c r="P401" s="6"/>
      <x:c r="Q401" s="7"/>
      <x:c r="R401" s="7"/>
      <x:c r="S401" s="7"/>
      <x:c r="T401" s="7"/>
      <x:c r="U401" s="7"/>
      <x:c r="V401" s="7"/>
      <x:c r="W401" s="7"/>
      <x:c r="X401" s="7"/>
      <x:c r="Y401" s="7"/>
      <x:c r="Z401" s="7"/>
      <x:c r="AA401" s="7"/>
      <x:c r="AB401" s="7"/>
      <x:c r="AC401" s="7"/>
      <x:c r="AD401" s="7"/>
      <x:c r="AE401" s="3"/>
      <x:c r="AF401" s="3"/>
      <x:c r="AG401" s="3"/>
      <x:c r="AH401" s="3"/>
      <x:c r="AI401" s="3"/>
      <x:c r="AJ401" s="9" t="str">
        <x:f>IF(A401="","",A401&amp;"|"&amp;B401)</x:f>
      </x:c>
      <x:c r="AK401" s="9" t="str">
        <x:f>IF(A401="",IF(B401="","","MISSING_TEST_ID"),IF(B401="","MISSING_RUN_ID",IF(COUNTIFS($A$2:$A$501,A401,$B$2:$B$501,B401)&lt;&gt;1,"DUPLICATE_ID","OK")))</x:f>
      </x:c>
      <x:c r="AL401" s="9" t="str">
        <x:f>IF(A401="","",IF(AND(AK401="OK",J401="READY",F401&lt;&gt;"",G401&lt;&gt;"",K401&lt;&gt;"",OR(L401="PASS",L401="FAIL"),M401&lt;&gt;"",P401="social-publication-v2"),"YES","NO"))</x:f>
      </x:c>
      <x:c r="AM401" s="9" t="str">
        <x:f>IF(A401="","",IF(AND(AK401="OK",J401="READY",F401&lt;&gt;"",G401&lt;&gt;"",K401&lt;&gt;"",S401="OK",OR(R401="PASS",R401="FAIL")),"YES","NO"))</x:f>
      </x:c>
      <x:c r="AN401" s="9" t="str">
        <x:f>IF(A401="","",F401&amp;" | "&amp;G401&amp;" | "&amp;H401&amp;" | "&amp;I401)</x:f>
      </x:c>
    </x:row>
    <x:row r="402" ht="33" customHeight="1">
      <x:c r="A402" s="3"/>
      <x:c r="B402" s="3"/>
      <x:c r="C402" s="3"/>
      <x:c r="D402" s="3"/>
      <x:c r="E402" s="3"/>
      <x:c r="F402" s="3"/>
      <x:c r="G402" s="3"/>
      <x:c r="H402" s="3"/>
      <x:c r="I402" s="3"/>
      <x:c r="J402" s="3"/>
      <x:c r="K402" s="3"/>
      <x:c r="L402" s="6"/>
      <x:c r="M402" s="6"/>
      <x:c r="N402" s="6"/>
      <x:c r="O402" s="6"/>
      <x:c r="P402" s="6"/>
      <x:c r="Q402" s="7"/>
      <x:c r="R402" s="7"/>
      <x:c r="S402" s="7"/>
      <x:c r="T402" s="7"/>
      <x:c r="U402" s="7"/>
      <x:c r="V402" s="7"/>
      <x:c r="W402" s="7"/>
      <x:c r="X402" s="7"/>
      <x:c r="Y402" s="7"/>
      <x:c r="Z402" s="7"/>
      <x:c r="AA402" s="7"/>
      <x:c r="AB402" s="7"/>
      <x:c r="AC402" s="7"/>
      <x:c r="AD402" s="7"/>
      <x:c r="AE402" s="3"/>
      <x:c r="AF402" s="3"/>
      <x:c r="AG402" s="3"/>
      <x:c r="AH402" s="3"/>
      <x:c r="AI402" s="3"/>
      <x:c r="AJ402" s="9" t="str">
        <x:f>IF(A402="","",A402&amp;"|"&amp;B402)</x:f>
      </x:c>
      <x:c r="AK402" s="9" t="str">
        <x:f>IF(A402="",IF(B402="","","MISSING_TEST_ID"),IF(B402="","MISSING_RUN_ID",IF(COUNTIFS($A$2:$A$501,A402,$B$2:$B$501,B402)&lt;&gt;1,"DUPLICATE_ID","OK")))</x:f>
      </x:c>
      <x:c r="AL402" s="9" t="str">
        <x:f>IF(A402="","",IF(AND(AK402="OK",J402="READY",F402&lt;&gt;"",G402&lt;&gt;"",K402&lt;&gt;"",OR(L402="PASS",L402="FAIL"),M402&lt;&gt;"",P402="social-publication-v2"),"YES","NO"))</x:f>
      </x:c>
      <x:c r="AM402" s="9" t="str">
        <x:f>IF(A402="","",IF(AND(AK402="OK",J402="READY",F402&lt;&gt;"",G402&lt;&gt;"",K402&lt;&gt;"",S402="OK",OR(R402="PASS",R402="FAIL")),"YES","NO"))</x:f>
      </x:c>
      <x:c r="AN402" s="9" t="str">
        <x:f>IF(A402="","",F402&amp;" | "&amp;G402&amp;" | "&amp;H402&amp;" | "&amp;I402)</x:f>
      </x:c>
    </x:row>
    <x:row r="403" ht="33" customHeight="1">
      <x:c r="A403" s="3"/>
      <x:c r="B403" s="3"/>
      <x:c r="C403" s="3"/>
      <x:c r="D403" s="3"/>
      <x:c r="E403" s="3"/>
      <x:c r="F403" s="3"/>
      <x:c r="G403" s="3"/>
      <x:c r="H403" s="3"/>
      <x:c r="I403" s="3"/>
      <x:c r="J403" s="3"/>
      <x:c r="K403" s="3"/>
      <x:c r="L403" s="6"/>
      <x:c r="M403" s="6"/>
      <x:c r="N403" s="6"/>
      <x:c r="O403" s="6"/>
      <x:c r="P403" s="6"/>
      <x:c r="Q403" s="7"/>
      <x:c r="R403" s="7"/>
      <x:c r="S403" s="7"/>
      <x:c r="T403" s="7"/>
      <x:c r="U403" s="7"/>
      <x:c r="V403" s="7"/>
      <x:c r="W403" s="7"/>
      <x:c r="X403" s="7"/>
      <x:c r="Y403" s="7"/>
      <x:c r="Z403" s="7"/>
      <x:c r="AA403" s="7"/>
      <x:c r="AB403" s="7"/>
      <x:c r="AC403" s="7"/>
      <x:c r="AD403" s="7"/>
      <x:c r="AE403" s="3"/>
      <x:c r="AF403" s="3"/>
      <x:c r="AG403" s="3"/>
      <x:c r="AH403" s="3"/>
      <x:c r="AI403" s="3"/>
      <x:c r="AJ403" s="9" t="str">
        <x:f>IF(A403="","",A403&amp;"|"&amp;B403)</x:f>
      </x:c>
      <x:c r="AK403" s="9" t="str">
        <x:f>IF(A403="",IF(B403="","","MISSING_TEST_ID"),IF(B403="","MISSING_RUN_ID",IF(COUNTIFS($A$2:$A$501,A403,$B$2:$B$501,B403)&lt;&gt;1,"DUPLICATE_ID","OK")))</x:f>
      </x:c>
      <x:c r="AL403" s="9" t="str">
        <x:f>IF(A403="","",IF(AND(AK403="OK",J403="READY",F403&lt;&gt;"",G403&lt;&gt;"",K403&lt;&gt;"",OR(L403="PASS",L403="FAIL"),M403&lt;&gt;"",P403="social-publication-v2"),"YES","NO"))</x:f>
      </x:c>
      <x:c r="AM403" s="9" t="str">
        <x:f>IF(A403="","",IF(AND(AK403="OK",J403="READY",F403&lt;&gt;"",G403&lt;&gt;"",K403&lt;&gt;"",S403="OK",OR(R403="PASS",R403="FAIL")),"YES","NO"))</x:f>
      </x:c>
      <x:c r="AN403" s="9" t="str">
        <x:f>IF(A403="","",F403&amp;" | "&amp;G403&amp;" | "&amp;H403&amp;" | "&amp;I403)</x:f>
      </x:c>
    </x:row>
    <x:row r="404" ht="33" customHeight="1">
      <x:c r="A404" s="3"/>
      <x:c r="B404" s="3"/>
      <x:c r="C404" s="3"/>
      <x:c r="D404" s="3"/>
      <x:c r="E404" s="3"/>
      <x:c r="F404" s="3"/>
      <x:c r="G404" s="3"/>
      <x:c r="H404" s="3"/>
      <x:c r="I404" s="3"/>
      <x:c r="J404" s="3"/>
      <x:c r="K404" s="3"/>
      <x:c r="L404" s="6"/>
      <x:c r="M404" s="6"/>
      <x:c r="N404" s="6"/>
      <x:c r="O404" s="6"/>
      <x:c r="P404" s="6"/>
      <x:c r="Q404" s="7"/>
      <x:c r="R404" s="7"/>
      <x:c r="S404" s="7"/>
      <x:c r="T404" s="7"/>
      <x:c r="U404" s="7"/>
      <x:c r="V404" s="7"/>
      <x:c r="W404" s="7"/>
      <x:c r="X404" s="7"/>
      <x:c r="Y404" s="7"/>
      <x:c r="Z404" s="7"/>
      <x:c r="AA404" s="7"/>
      <x:c r="AB404" s="7"/>
      <x:c r="AC404" s="7"/>
      <x:c r="AD404" s="7"/>
      <x:c r="AE404" s="3"/>
      <x:c r="AF404" s="3"/>
      <x:c r="AG404" s="3"/>
      <x:c r="AH404" s="3"/>
      <x:c r="AI404" s="3"/>
      <x:c r="AJ404" s="9" t="str">
        <x:f>IF(A404="","",A404&amp;"|"&amp;B404)</x:f>
      </x:c>
      <x:c r="AK404" s="9" t="str">
        <x:f>IF(A404="",IF(B404="","","MISSING_TEST_ID"),IF(B404="","MISSING_RUN_ID",IF(COUNTIFS($A$2:$A$501,A404,$B$2:$B$501,B404)&lt;&gt;1,"DUPLICATE_ID","OK")))</x:f>
      </x:c>
      <x:c r="AL404" s="9" t="str">
        <x:f>IF(A404="","",IF(AND(AK404="OK",J404="READY",F404&lt;&gt;"",G404&lt;&gt;"",K404&lt;&gt;"",OR(L404="PASS",L404="FAIL"),M404&lt;&gt;"",P404="social-publication-v2"),"YES","NO"))</x:f>
      </x:c>
      <x:c r="AM404" s="9" t="str">
        <x:f>IF(A404="","",IF(AND(AK404="OK",J404="READY",F404&lt;&gt;"",G404&lt;&gt;"",K404&lt;&gt;"",S404="OK",OR(R404="PASS",R404="FAIL")),"YES","NO"))</x:f>
      </x:c>
      <x:c r="AN404" s="9" t="str">
        <x:f>IF(A404="","",F404&amp;" | "&amp;G404&amp;" | "&amp;H404&amp;" | "&amp;I404)</x:f>
      </x:c>
    </x:row>
    <x:row r="405" ht="33" customHeight="1">
      <x:c r="A405" s="3"/>
      <x:c r="B405" s="3"/>
      <x:c r="C405" s="3"/>
      <x:c r="D405" s="3"/>
      <x:c r="E405" s="3"/>
      <x:c r="F405" s="3"/>
      <x:c r="G405" s="3"/>
      <x:c r="H405" s="3"/>
      <x:c r="I405" s="3"/>
      <x:c r="J405" s="3"/>
      <x:c r="K405" s="3"/>
      <x:c r="L405" s="6"/>
      <x:c r="M405" s="6"/>
      <x:c r="N405" s="6"/>
      <x:c r="O405" s="6"/>
      <x:c r="P405" s="6"/>
      <x:c r="Q405" s="7"/>
      <x:c r="R405" s="7"/>
      <x:c r="S405" s="7"/>
      <x:c r="T405" s="7"/>
      <x:c r="U405" s="7"/>
      <x:c r="V405" s="7"/>
      <x:c r="W405" s="7"/>
      <x:c r="X405" s="7"/>
      <x:c r="Y405" s="7"/>
      <x:c r="Z405" s="7"/>
      <x:c r="AA405" s="7"/>
      <x:c r="AB405" s="7"/>
      <x:c r="AC405" s="7"/>
      <x:c r="AD405" s="7"/>
      <x:c r="AE405" s="3"/>
      <x:c r="AF405" s="3"/>
      <x:c r="AG405" s="3"/>
      <x:c r="AH405" s="3"/>
      <x:c r="AI405" s="3"/>
      <x:c r="AJ405" s="9" t="str">
        <x:f>IF(A405="","",A405&amp;"|"&amp;B405)</x:f>
      </x:c>
      <x:c r="AK405" s="9" t="str">
        <x:f>IF(A405="",IF(B405="","","MISSING_TEST_ID"),IF(B405="","MISSING_RUN_ID",IF(COUNTIFS($A$2:$A$501,A405,$B$2:$B$501,B405)&lt;&gt;1,"DUPLICATE_ID","OK")))</x:f>
      </x:c>
      <x:c r="AL405" s="9" t="str">
        <x:f>IF(A405="","",IF(AND(AK405="OK",J405="READY",F405&lt;&gt;"",G405&lt;&gt;"",K405&lt;&gt;"",OR(L405="PASS",L405="FAIL"),M405&lt;&gt;"",P405="social-publication-v2"),"YES","NO"))</x:f>
      </x:c>
      <x:c r="AM405" s="9" t="str">
        <x:f>IF(A405="","",IF(AND(AK405="OK",J405="READY",F405&lt;&gt;"",G405&lt;&gt;"",K405&lt;&gt;"",S405="OK",OR(R405="PASS",R405="FAIL")),"YES","NO"))</x:f>
      </x:c>
      <x:c r="AN405" s="9" t="str">
        <x:f>IF(A405="","",F405&amp;" | "&amp;G405&amp;" | "&amp;H405&amp;" | "&amp;I405)</x:f>
      </x:c>
    </x:row>
    <x:row r="406" ht="33" customHeight="1">
      <x:c r="A406" s="3"/>
      <x:c r="B406" s="3"/>
      <x:c r="C406" s="3"/>
      <x:c r="D406" s="3"/>
      <x:c r="E406" s="3"/>
      <x:c r="F406" s="3"/>
      <x:c r="G406" s="3"/>
      <x:c r="H406" s="3"/>
      <x:c r="I406" s="3"/>
      <x:c r="J406" s="3"/>
      <x:c r="K406" s="3"/>
      <x:c r="L406" s="6"/>
      <x:c r="M406" s="6"/>
      <x:c r="N406" s="6"/>
      <x:c r="O406" s="6"/>
      <x:c r="P406" s="6"/>
      <x:c r="Q406" s="7"/>
      <x:c r="R406" s="7"/>
      <x:c r="S406" s="7"/>
      <x:c r="T406" s="7"/>
      <x:c r="U406" s="7"/>
      <x:c r="V406" s="7"/>
      <x:c r="W406" s="7"/>
      <x:c r="X406" s="7"/>
      <x:c r="Y406" s="7"/>
      <x:c r="Z406" s="7"/>
      <x:c r="AA406" s="7"/>
      <x:c r="AB406" s="7"/>
      <x:c r="AC406" s="7"/>
      <x:c r="AD406" s="7"/>
      <x:c r="AE406" s="3"/>
      <x:c r="AF406" s="3"/>
      <x:c r="AG406" s="3"/>
      <x:c r="AH406" s="3"/>
      <x:c r="AI406" s="3"/>
      <x:c r="AJ406" s="9" t="str">
        <x:f>IF(A406="","",A406&amp;"|"&amp;B406)</x:f>
      </x:c>
      <x:c r="AK406" s="9" t="str">
        <x:f>IF(A406="",IF(B406="","","MISSING_TEST_ID"),IF(B406="","MISSING_RUN_ID",IF(COUNTIFS($A$2:$A$501,A406,$B$2:$B$501,B406)&lt;&gt;1,"DUPLICATE_ID","OK")))</x:f>
      </x:c>
      <x:c r="AL406" s="9" t="str">
        <x:f>IF(A406="","",IF(AND(AK406="OK",J406="READY",F406&lt;&gt;"",G406&lt;&gt;"",K406&lt;&gt;"",OR(L406="PASS",L406="FAIL"),M406&lt;&gt;"",P406="social-publication-v2"),"YES","NO"))</x:f>
      </x:c>
      <x:c r="AM406" s="9" t="str">
        <x:f>IF(A406="","",IF(AND(AK406="OK",J406="READY",F406&lt;&gt;"",G406&lt;&gt;"",K406&lt;&gt;"",S406="OK",OR(R406="PASS",R406="FAIL")),"YES","NO"))</x:f>
      </x:c>
      <x:c r="AN406" s="9" t="str">
        <x:f>IF(A406="","",F406&amp;" | "&amp;G406&amp;" | "&amp;H406&amp;" | "&amp;I406)</x:f>
      </x:c>
    </x:row>
    <x:row r="407" ht="33" customHeight="1">
      <x:c r="A407" s="3"/>
      <x:c r="B407" s="3"/>
      <x:c r="C407" s="3"/>
      <x:c r="D407" s="3"/>
      <x:c r="E407" s="3"/>
      <x:c r="F407" s="3"/>
      <x:c r="G407" s="3"/>
      <x:c r="H407" s="3"/>
      <x:c r="I407" s="3"/>
      <x:c r="J407" s="3"/>
      <x:c r="K407" s="3"/>
      <x:c r="L407" s="6"/>
      <x:c r="M407" s="6"/>
      <x:c r="N407" s="6"/>
      <x:c r="O407" s="6"/>
      <x:c r="P407" s="6"/>
      <x:c r="Q407" s="7"/>
      <x:c r="R407" s="7"/>
      <x:c r="S407" s="7"/>
      <x:c r="T407" s="7"/>
      <x:c r="U407" s="7"/>
      <x:c r="V407" s="7"/>
      <x:c r="W407" s="7"/>
      <x:c r="X407" s="7"/>
      <x:c r="Y407" s="7"/>
      <x:c r="Z407" s="7"/>
      <x:c r="AA407" s="7"/>
      <x:c r="AB407" s="7"/>
      <x:c r="AC407" s="7"/>
      <x:c r="AD407" s="7"/>
      <x:c r="AE407" s="3"/>
      <x:c r="AF407" s="3"/>
      <x:c r="AG407" s="3"/>
      <x:c r="AH407" s="3"/>
      <x:c r="AI407" s="3"/>
      <x:c r="AJ407" s="9" t="str">
        <x:f>IF(A407="","",A407&amp;"|"&amp;B407)</x:f>
      </x:c>
      <x:c r="AK407" s="9" t="str">
        <x:f>IF(A407="",IF(B407="","","MISSING_TEST_ID"),IF(B407="","MISSING_RUN_ID",IF(COUNTIFS($A$2:$A$501,A407,$B$2:$B$501,B407)&lt;&gt;1,"DUPLICATE_ID","OK")))</x:f>
      </x:c>
      <x:c r="AL407" s="9" t="str">
        <x:f>IF(A407="","",IF(AND(AK407="OK",J407="READY",F407&lt;&gt;"",G407&lt;&gt;"",K407&lt;&gt;"",OR(L407="PASS",L407="FAIL"),M407&lt;&gt;"",P407="social-publication-v2"),"YES","NO"))</x:f>
      </x:c>
      <x:c r="AM407" s="9" t="str">
        <x:f>IF(A407="","",IF(AND(AK407="OK",J407="READY",F407&lt;&gt;"",G407&lt;&gt;"",K407&lt;&gt;"",S407="OK",OR(R407="PASS",R407="FAIL")),"YES","NO"))</x:f>
      </x:c>
      <x:c r="AN407" s="9" t="str">
        <x:f>IF(A407="","",F407&amp;" | "&amp;G407&amp;" | "&amp;H407&amp;" | "&amp;I407)</x:f>
      </x:c>
    </x:row>
    <x:row r="408" ht="33" customHeight="1">
      <x:c r="A408" s="3"/>
      <x:c r="B408" s="3"/>
      <x:c r="C408" s="3"/>
      <x:c r="D408" s="3"/>
      <x:c r="E408" s="3"/>
      <x:c r="F408" s="3"/>
      <x:c r="G408" s="3"/>
      <x:c r="H408" s="3"/>
      <x:c r="I408" s="3"/>
      <x:c r="J408" s="3"/>
      <x:c r="K408" s="3"/>
      <x:c r="L408" s="6"/>
      <x:c r="M408" s="6"/>
      <x:c r="N408" s="6"/>
      <x:c r="O408" s="6"/>
      <x:c r="P408" s="6"/>
      <x:c r="Q408" s="7"/>
      <x:c r="R408" s="7"/>
      <x:c r="S408" s="7"/>
      <x:c r="T408" s="7"/>
      <x:c r="U408" s="7"/>
      <x:c r="V408" s="7"/>
      <x:c r="W408" s="7"/>
      <x:c r="X408" s="7"/>
      <x:c r="Y408" s="7"/>
      <x:c r="Z408" s="7"/>
      <x:c r="AA408" s="7"/>
      <x:c r="AB408" s="7"/>
      <x:c r="AC408" s="7"/>
      <x:c r="AD408" s="7"/>
      <x:c r="AE408" s="3"/>
      <x:c r="AF408" s="3"/>
      <x:c r="AG408" s="3"/>
      <x:c r="AH408" s="3"/>
      <x:c r="AI408" s="3"/>
      <x:c r="AJ408" s="9" t="str">
        <x:f>IF(A408="","",A408&amp;"|"&amp;B408)</x:f>
      </x:c>
      <x:c r="AK408" s="9" t="str">
        <x:f>IF(A408="",IF(B408="","","MISSING_TEST_ID"),IF(B408="","MISSING_RUN_ID",IF(COUNTIFS($A$2:$A$501,A408,$B$2:$B$501,B408)&lt;&gt;1,"DUPLICATE_ID","OK")))</x:f>
      </x:c>
      <x:c r="AL408" s="9" t="str">
        <x:f>IF(A408="","",IF(AND(AK408="OK",J408="READY",F408&lt;&gt;"",G408&lt;&gt;"",K408&lt;&gt;"",OR(L408="PASS",L408="FAIL"),M408&lt;&gt;"",P408="social-publication-v2"),"YES","NO"))</x:f>
      </x:c>
      <x:c r="AM408" s="9" t="str">
        <x:f>IF(A408="","",IF(AND(AK408="OK",J408="READY",F408&lt;&gt;"",G408&lt;&gt;"",K408&lt;&gt;"",S408="OK",OR(R408="PASS",R408="FAIL")),"YES","NO"))</x:f>
      </x:c>
      <x:c r="AN408" s="9" t="str">
        <x:f>IF(A408="","",F408&amp;" | "&amp;G408&amp;" | "&amp;H408&amp;" | "&amp;I408)</x:f>
      </x:c>
    </x:row>
    <x:row r="409" ht="33" customHeight="1">
      <x:c r="A409" s="3"/>
      <x:c r="B409" s="3"/>
      <x:c r="C409" s="3"/>
      <x:c r="D409" s="3"/>
      <x:c r="E409" s="3"/>
      <x:c r="F409" s="3"/>
      <x:c r="G409" s="3"/>
      <x:c r="H409" s="3"/>
      <x:c r="I409" s="3"/>
      <x:c r="J409" s="3"/>
      <x:c r="K409" s="3"/>
      <x:c r="L409" s="6"/>
      <x:c r="M409" s="6"/>
      <x:c r="N409" s="6"/>
      <x:c r="O409" s="6"/>
      <x:c r="P409" s="6"/>
      <x:c r="Q409" s="7"/>
      <x:c r="R409" s="7"/>
      <x:c r="S409" s="7"/>
      <x:c r="T409" s="7"/>
      <x:c r="U409" s="7"/>
      <x:c r="V409" s="7"/>
      <x:c r="W409" s="7"/>
      <x:c r="X409" s="7"/>
      <x:c r="Y409" s="7"/>
      <x:c r="Z409" s="7"/>
      <x:c r="AA409" s="7"/>
      <x:c r="AB409" s="7"/>
      <x:c r="AC409" s="7"/>
      <x:c r="AD409" s="7"/>
      <x:c r="AE409" s="3"/>
      <x:c r="AF409" s="3"/>
      <x:c r="AG409" s="3"/>
      <x:c r="AH409" s="3"/>
      <x:c r="AI409" s="3"/>
      <x:c r="AJ409" s="9" t="str">
        <x:f>IF(A409="","",A409&amp;"|"&amp;B409)</x:f>
      </x:c>
      <x:c r="AK409" s="9" t="str">
        <x:f>IF(A409="",IF(B409="","","MISSING_TEST_ID"),IF(B409="","MISSING_RUN_ID",IF(COUNTIFS($A$2:$A$501,A409,$B$2:$B$501,B409)&lt;&gt;1,"DUPLICATE_ID","OK")))</x:f>
      </x:c>
      <x:c r="AL409" s="9" t="str">
        <x:f>IF(A409="","",IF(AND(AK409="OK",J409="READY",F409&lt;&gt;"",G409&lt;&gt;"",K409&lt;&gt;"",OR(L409="PASS",L409="FAIL"),M409&lt;&gt;"",P409="social-publication-v2"),"YES","NO"))</x:f>
      </x:c>
      <x:c r="AM409" s="9" t="str">
        <x:f>IF(A409="","",IF(AND(AK409="OK",J409="READY",F409&lt;&gt;"",G409&lt;&gt;"",K409&lt;&gt;"",S409="OK",OR(R409="PASS",R409="FAIL")),"YES","NO"))</x:f>
      </x:c>
      <x:c r="AN409" s="9" t="str">
        <x:f>IF(A409="","",F409&amp;" | "&amp;G409&amp;" | "&amp;H409&amp;" | "&amp;I409)</x:f>
      </x:c>
    </x:row>
    <x:row r="410" ht="33" customHeight="1">
      <x:c r="A410" s="3"/>
      <x:c r="B410" s="3"/>
      <x:c r="C410" s="3"/>
      <x:c r="D410" s="3"/>
      <x:c r="E410" s="3"/>
      <x:c r="F410" s="3"/>
      <x:c r="G410" s="3"/>
      <x:c r="H410" s="3"/>
      <x:c r="I410" s="3"/>
      <x:c r="J410" s="3"/>
      <x:c r="K410" s="3"/>
      <x:c r="L410" s="6"/>
      <x:c r="M410" s="6"/>
      <x:c r="N410" s="6"/>
      <x:c r="O410" s="6"/>
      <x:c r="P410" s="6"/>
      <x:c r="Q410" s="7"/>
      <x:c r="R410" s="7"/>
      <x:c r="S410" s="7"/>
      <x:c r="T410" s="7"/>
      <x:c r="U410" s="7"/>
      <x:c r="V410" s="7"/>
      <x:c r="W410" s="7"/>
      <x:c r="X410" s="7"/>
      <x:c r="Y410" s="7"/>
      <x:c r="Z410" s="7"/>
      <x:c r="AA410" s="7"/>
      <x:c r="AB410" s="7"/>
      <x:c r="AC410" s="7"/>
      <x:c r="AD410" s="7"/>
      <x:c r="AE410" s="3"/>
      <x:c r="AF410" s="3"/>
      <x:c r="AG410" s="3"/>
      <x:c r="AH410" s="3"/>
      <x:c r="AI410" s="3"/>
      <x:c r="AJ410" s="9" t="str">
        <x:f>IF(A410="","",A410&amp;"|"&amp;B410)</x:f>
      </x:c>
      <x:c r="AK410" s="9" t="str">
        <x:f>IF(A410="",IF(B410="","","MISSING_TEST_ID"),IF(B410="","MISSING_RUN_ID",IF(COUNTIFS($A$2:$A$501,A410,$B$2:$B$501,B410)&lt;&gt;1,"DUPLICATE_ID","OK")))</x:f>
      </x:c>
      <x:c r="AL410" s="9" t="str">
        <x:f>IF(A410="","",IF(AND(AK410="OK",J410="READY",F410&lt;&gt;"",G410&lt;&gt;"",K410&lt;&gt;"",OR(L410="PASS",L410="FAIL"),M410&lt;&gt;"",P410="social-publication-v2"),"YES","NO"))</x:f>
      </x:c>
      <x:c r="AM410" s="9" t="str">
        <x:f>IF(A410="","",IF(AND(AK410="OK",J410="READY",F410&lt;&gt;"",G410&lt;&gt;"",K410&lt;&gt;"",S410="OK",OR(R410="PASS",R410="FAIL")),"YES","NO"))</x:f>
      </x:c>
      <x:c r="AN410" s="9" t="str">
        <x:f>IF(A410="","",F410&amp;" | "&amp;G410&amp;" | "&amp;H410&amp;" | "&amp;I410)</x:f>
      </x:c>
    </x:row>
    <x:row r="411" ht="33" customHeight="1">
      <x:c r="A411" s="3"/>
      <x:c r="B411" s="3"/>
      <x:c r="C411" s="3"/>
      <x:c r="D411" s="3"/>
      <x:c r="E411" s="3"/>
      <x:c r="F411" s="3"/>
      <x:c r="G411" s="3"/>
      <x:c r="H411" s="3"/>
      <x:c r="I411" s="3"/>
      <x:c r="J411" s="3"/>
      <x:c r="K411" s="3"/>
      <x:c r="L411" s="6"/>
      <x:c r="M411" s="6"/>
      <x:c r="N411" s="6"/>
      <x:c r="O411" s="6"/>
      <x:c r="P411" s="6"/>
      <x:c r="Q411" s="7"/>
      <x:c r="R411" s="7"/>
      <x:c r="S411" s="7"/>
      <x:c r="T411" s="7"/>
      <x:c r="U411" s="7"/>
      <x:c r="V411" s="7"/>
      <x:c r="W411" s="7"/>
      <x:c r="X411" s="7"/>
      <x:c r="Y411" s="7"/>
      <x:c r="Z411" s="7"/>
      <x:c r="AA411" s="7"/>
      <x:c r="AB411" s="7"/>
      <x:c r="AC411" s="7"/>
      <x:c r="AD411" s="7"/>
      <x:c r="AE411" s="3"/>
      <x:c r="AF411" s="3"/>
      <x:c r="AG411" s="3"/>
      <x:c r="AH411" s="3"/>
      <x:c r="AI411" s="3"/>
      <x:c r="AJ411" s="9" t="str">
        <x:f>IF(A411="","",A411&amp;"|"&amp;B411)</x:f>
      </x:c>
      <x:c r="AK411" s="9" t="str">
        <x:f>IF(A411="",IF(B411="","","MISSING_TEST_ID"),IF(B411="","MISSING_RUN_ID",IF(COUNTIFS($A$2:$A$501,A411,$B$2:$B$501,B411)&lt;&gt;1,"DUPLICATE_ID","OK")))</x:f>
      </x:c>
      <x:c r="AL411" s="9" t="str">
        <x:f>IF(A411="","",IF(AND(AK411="OK",J411="READY",F411&lt;&gt;"",G411&lt;&gt;"",K411&lt;&gt;"",OR(L411="PASS",L411="FAIL"),M411&lt;&gt;"",P411="social-publication-v2"),"YES","NO"))</x:f>
      </x:c>
      <x:c r="AM411" s="9" t="str">
        <x:f>IF(A411="","",IF(AND(AK411="OK",J411="READY",F411&lt;&gt;"",G411&lt;&gt;"",K411&lt;&gt;"",S411="OK",OR(R411="PASS",R411="FAIL")),"YES","NO"))</x:f>
      </x:c>
      <x:c r="AN411" s="9" t="str">
        <x:f>IF(A411="","",F411&amp;" | "&amp;G411&amp;" | "&amp;H411&amp;" | "&amp;I411)</x:f>
      </x:c>
    </x:row>
    <x:row r="412" ht="33" customHeight="1">
      <x:c r="A412" s="3"/>
      <x:c r="B412" s="3"/>
      <x:c r="C412" s="3"/>
      <x:c r="D412" s="3"/>
      <x:c r="E412" s="3"/>
      <x:c r="F412" s="3"/>
      <x:c r="G412" s="3"/>
      <x:c r="H412" s="3"/>
      <x:c r="I412" s="3"/>
      <x:c r="J412" s="3"/>
      <x:c r="K412" s="3"/>
      <x:c r="L412" s="6"/>
      <x:c r="M412" s="6"/>
      <x:c r="N412" s="6"/>
      <x:c r="O412" s="6"/>
      <x:c r="P412" s="6"/>
      <x:c r="Q412" s="7"/>
      <x:c r="R412" s="7"/>
      <x:c r="S412" s="7"/>
      <x:c r="T412" s="7"/>
      <x:c r="U412" s="7"/>
      <x:c r="V412" s="7"/>
      <x:c r="W412" s="7"/>
      <x:c r="X412" s="7"/>
      <x:c r="Y412" s="7"/>
      <x:c r="Z412" s="7"/>
      <x:c r="AA412" s="7"/>
      <x:c r="AB412" s="7"/>
      <x:c r="AC412" s="7"/>
      <x:c r="AD412" s="7"/>
      <x:c r="AE412" s="3"/>
      <x:c r="AF412" s="3"/>
      <x:c r="AG412" s="3"/>
      <x:c r="AH412" s="3"/>
      <x:c r="AI412" s="3"/>
      <x:c r="AJ412" s="9" t="str">
        <x:f>IF(A412="","",A412&amp;"|"&amp;B412)</x:f>
      </x:c>
      <x:c r="AK412" s="9" t="str">
        <x:f>IF(A412="",IF(B412="","","MISSING_TEST_ID"),IF(B412="","MISSING_RUN_ID",IF(COUNTIFS($A$2:$A$501,A412,$B$2:$B$501,B412)&lt;&gt;1,"DUPLICATE_ID","OK")))</x:f>
      </x:c>
      <x:c r="AL412" s="9" t="str">
        <x:f>IF(A412="","",IF(AND(AK412="OK",J412="READY",F412&lt;&gt;"",G412&lt;&gt;"",K412&lt;&gt;"",OR(L412="PASS",L412="FAIL"),M412&lt;&gt;"",P412="social-publication-v2"),"YES","NO"))</x:f>
      </x:c>
      <x:c r="AM412" s="9" t="str">
        <x:f>IF(A412="","",IF(AND(AK412="OK",J412="READY",F412&lt;&gt;"",G412&lt;&gt;"",K412&lt;&gt;"",S412="OK",OR(R412="PASS",R412="FAIL")),"YES","NO"))</x:f>
      </x:c>
      <x:c r="AN412" s="9" t="str">
        <x:f>IF(A412="","",F412&amp;" | "&amp;G412&amp;" | "&amp;H412&amp;" | "&amp;I412)</x:f>
      </x:c>
    </x:row>
    <x:row r="413" ht="33" customHeight="1">
      <x:c r="A413" s="3"/>
      <x:c r="B413" s="3"/>
      <x:c r="C413" s="3"/>
      <x:c r="D413" s="3"/>
      <x:c r="E413" s="3"/>
      <x:c r="F413" s="3"/>
      <x:c r="G413" s="3"/>
      <x:c r="H413" s="3"/>
      <x:c r="I413" s="3"/>
      <x:c r="J413" s="3"/>
      <x:c r="K413" s="3"/>
      <x:c r="L413" s="6"/>
      <x:c r="M413" s="6"/>
      <x:c r="N413" s="6"/>
      <x:c r="O413" s="6"/>
      <x:c r="P413" s="6"/>
      <x:c r="Q413" s="7"/>
      <x:c r="R413" s="7"/>
      <x:c r="S413" s="7"/>
      <x:c r="T413" s="7"/>
      <x:c r="U413" s="7"/>
      <x:c r="V413" s="7"/>
      <x:c r="W413" s="7"/>
      <x:c r="X413" s="7"/>
      <x:c r="Y413" s="7"/>
      <x:c r="Z413" s="7"/>
      <x:c r="AA413" s="7"/>
      <x:c r="AB413" s="7"/>
      <x:c r="AC413" s="7"/>
      <x:c r="AD413" s="7"/>
      <x:c r="AE413" s="3"/>
      <x:c r="AF413" s="3"/>
      <x:c r="AG413" s="3"/>
      <x:c r="AH413" s="3"/>
      <x:c r="AI413" s="3"/>
      <x:c r="AJ413" s="9" t="str">
        <x:f>IF(A413="","",A413&amp;"|"&amp;B413)</x:f>
      </x:c>
      <x:c r="AK413" s="9" t="str">
        <x:f>IF(A413="",IF(B413="","","MISSING_TEST_ID"),IF(B413="","MISSING_RUN_ID",IF(COUNTIFS($A$2:$A$501,A413,$B$2:$B$501,B413)&lt;&gt;1,"DUPLICATE_ID","OK")))</x:f>
      </x:c>
      <x:c r="AL413" s="9" t="str">
        <x:f>IF(A413="","",IF(AND(AK413="OK",J413="READY",F413&lt;&gt;"",G413&lt;&gt;"",K413&lt;&gt;"",OR(L413="PASS",L413="FAIL"),M413&lt;&gt;"",P413="social-publication-v2"),"YES","NO"))</x:f>
      </x:c>
      <x:c r="AM413" s="9" t="str">
        <x:f>IF(A413="","",IF(AND(AK413="OK",J413="READY",F413&lt;&gt;"",G413&lt;&gt;"",K413&lt;&gt;"",S413="OK",OR(R413="PASS",R413="FAIL")),"YES","NO"))</x:f>
      </x:c>
      <x:c r="AN413" s="9" t="str">
        <x:f>IF(A413="","",F413&amp;" | "&amp;G413&amp;" | "&amp;H413&amp;" | "&amp;I413)</x:f>
      </x:c>
    </x:row>
    <x:row r="414" ht="33" customHeight="1">
      <x:c r="A414" s="3"/>
      <x:c r="B414" s="3"/>
      <x:c r="C414" s="3"/>
      <x:c r="D414" s="3"/>
      <x:c r="E414" s="3"/>
      <x:c r="F414" s="3"/>
      <x:c r="G414" s="3"/>
      <x:c r="H414" s="3"/>
      <x:c r="I414" s="3"/>
      <x:c r="J414" s="3"/>
      <x:c r="K414" s="3"/>
      <x:c r="L414" s="6"/>
      <x:c r="M414" s="6"/>
      <x:c r="N414" s="6"/>
      <x:c r="O414" s="6"/>
      <x:c r="P414" s="6"/>
      <x:c r="Q414" s="7"/>
      <x:c r="R414" s="7"/>
      <x:c r="S414" s="7"/>
      <x:c r="T414" s="7"/>
      <x:c r="U414" s="7"/>
      <x:c r="V414" s="7"/>
      <x:c r="W414" s="7"/>
      <x:c r="X414" s="7"/>
      <x:c r="Y414" s="7"/>
      <x:c r="Z414" s="7"/>
      <x:c r="AA414" s="7"/>
      <x:c r="AB414" s="7"/>
      <x:c r="AC414" s="7"/>
      <x:c r="AD414" s="7"/>
      <x:c r="AE414" s="3"/>
      <x:c r="AF414" s="3"/>
      <x:c r="AG414" s="3"/>
      <x:c r="AH414" s="3"/>
      <x:c r="AI414" s="3"/>
      <x:c r="AJ414" s="9" t="str">
        <x:f>IF(A414="","",A414&amp;"|"&amp;B414)</x:f>
      </x:c>
      <x:c r="AK414" s="9" t="str">
        <x:f>IF(A414="",IF(B414="","","MISSING_TEST_ID"),IF(B414="","MISSING_RUN_ID",IF(COUNTIFS($A$2:$A$501,A414,$B$2:$B$501,B414)&lt;&gt;1,"DUPLICATE_ID","OK")))</x:f>
      </x:c>
      <x:c r="AL414" s="9" t="str">
        <x:f>IF(A414="","",IF(AND(AK414="OK",J414="READY",F414&lt;&gt;"",G414&lt;&gt;"",K414&lt;&gt;"",OR(L414="PASS",L414="FAIL"),M414&lt;&gt;"",P414="social-publication-v2"),"YES","NO"))</x:f>
      </x:c>
      <x:c r="AM414" s="9" t="str">
        <x:f>IF(A414="","",IF(AND(AK414="OK",J414="READY",F414&lt;&gt;"",G414&lt;&gt;"",K414&lt;&gt;"",S414="OK",OR(R414="PASS",R414="FAIL")),"YES","NO"))</x:f>
      </x:c>
      <x:c r="AN414" s="9" t="str">
        <x:f>IF(A414="","",F414&amp;" | "&amp;G414&amp;" | "&amp;H414&amp;" | "&amp;I414)</x:f>
      </x:c>
    </x:row>
    <x:row r="415" ht="33" customHeight="1">
      <x:c r="A415" s="3"/>
      <x:c r="B415" s="3"/>
      <x:c r="C415" s="3"/>
      <x:c r="D415" s="3"/>
      <x:c r="E415" s="3"/>
      <x:c r="F415" s="3"/>
      <x:c r="G415" s="3"/>
      <x:c r="H415" s="3"/>
      <x:c r="I415" s="3"/>
      <x:c r="J415" s="3"/>
      <x:c r="K415" s="3"/>
      <x:c r="L415" s="6"/>
      <x:c r="M415" s="6"/>
      <x:c r="N415" s="6"/>
      <x:c r="O415" s="6"/>
      <x:c r="P415" s="6"/>
      <x:c r="Q415" s="7"/>
      <x:c r="R415" s="7"/>
      <x:c r="S415" s="7"/>
      <x:c r="T415" s="7"/>
      <x:c r="U415" s="7"/>
      <x:c r="V415" s="7"/>
      <x:c r="W415" s="7"/>
      <x:c r="X415" s="7"/>
      <x:c r="Y415" s="7"/>
      <x:c r="Z415" s="7"/>
      <x:c r="AA415" s="7"/>
      <x:c r="AB415" s="7"/>
      <x:c r="AC415" s="7"/>
      <x:c r="AD415" s="7"/>
      <x:c r="AE415" s="3"/>
      <x:c r="AF415" s="3"/>
      <x:c r="AG415" s="3"/>
      <x:c r="AH415" s="3"/>
      <x:c r="AI415" s="3"/>
      <x:c r="AJ415" s="9" t="str">
        <x:f>IF(A415="","",A415&amp;"|"&amp;B415)</x:f>
      </x:c>
      <x:c r="AK415" s="9" t="str">
        <x:f>IF(A415="",IF(B415="","","MISSING_TEST_ID"),IF(B415="","MISSING_RUN_ID",IF(COUNTIFS($A$2:$A$501,A415,$B$2:$B$501,B415)&lt;&gt;1,"DUPLICATE_ID","OK")))</x:f>
      </x:c>
      <x:c r="AL415" s="9" t="str">
        <x:f>IF(A415="","",IF(AND(AK415="OK",J415="READY",F415&lt;&gt;"",G415&lt;&gt;"",K415&lt;&gt;"",OR(L415="PASS",L415="FAIL"),M415&lt;&gt;"",P415="social-publication-v2"),"YES","NO"))</x:f>
      </x:c>
      <x:c r="AM415" s="9" t="str">
        <x:f>IF(A415="","",IF(AND(AK415="OK",J415="READY",F415&lt;&gt;"",G415&lt;&gt;"",K415&lt;&gt;"",S415="OK",OR(R415="PASS",R415="FAIL")),"YES","NO"))</x:f>
      </x:c>
      <x:c r="AN415" s="9" t="str">
        <x:f>IF(A415="","",F415&amp;" | "&amp;G415&amp;" | "&amp;H415&amp;" | "&amp;I415)</x:f>
      </x:c>
    </x:row>
    <x:row r="416" ht="33" customHeight="1">
      <x:c r="A416" s="3"/>
      <x:c r="B416" s="3"/>
      <x:c r="C416" s="3"/>
      <x:c r="D416" s="3"/>
      <x:c r="E416" s="3"/>
      <x:c r="F416" s="3"/>
      <x:c r="G416" s="3"/>
      <x:c r="H416" s="3"/>
      <x:c r="I416" s="3"/>
      <x:c r="J416" s="3"/>
      <x:c r="K416" s="3"/>
      <x:c r="L416" s="6"/>
      <x:c r="M416" s="6"/>
      <x:c r="N416" s="6"/>
      <x:c r="O416" s="6"/>
      <x:c r="P416" s="6"/>
      <x:c r="Q416" s="7"/>
      <x:c r="R416" s="7"/>
      <x:c r="S416" s="7"/>
      <x:c r="T416" s="7"/>
      <x:c r="U416" s="7"/>
      <x:c r="V416" s="7"/>
      <x:c r="W416" s="7"/>
      <x:c r="X416" s="7"/>
      <x:c r="Y416" s="7"/>
      <x:c r="Z416" s="7"/>
      <x:c r="AA416" s="7"/>
      <x:c r="AB416" s="7"/>
      <x:c r="AC416" s="7"/>
      <x:c r="AD416" s="7"/>
      <x:c r="AE416" s="3"/>
      <x:c r="AF416" s="3"/>
      <x:c r="AG416" s="3"/>
      <x:c r="AH416" s="3"/>
      <x:c r="AI416" s="3"/>
      <x:c r="AJ416" s="9" t="str">
        <x:f>IF(A416="","",A416&amp;"|"&amp;B416)</x:f>
      </x:c>
      <x:c r="AK416" s="9" t="str">
        <x:f>IF(A416="",IF(B416="","","MISSING_TEST_ID"),IF(B416="","MISSING_RUN_ID",IF(COUNTIFS($A$2:$A$501,A416,$B$2:$B$501,B416)&lt;&gt;1,"DUPLICATE_ID","OK")))</x:f>
      </x:c>
      <x:c r="AL416" s="9" t="str">
        <x:f>IF(A416="","",IF(AND(AK416="OK",J416="READY",F416&lt;&gt;"",G416&lt;&gt;"",K416&lt;&gt;"",OR(L416="PASS",L416="FAIL"),M416&lt;&gt;"",P416="social-publication-v2"),"YES","NO"))</x:f>
      </x:c>
      <x:c r="AM416" s="9" t="str">
        <x:f>IF(A416="","",IF(AND(AK416="OK",J416="READY",F416&lt;&gt;"",G416&lt;&gt;"",K416&lt;&gt;"",S416="OK",OR(R416="PASS",R416="FAIL")),"YES","NO"))</x:f>
      </x:c>
      <x:c r="AN416" s="9" t="str">
        <x:f>IF(A416="","",F416&amp;" | "&amp;G416&amp;" | "&amp;H416&amp;" | "&amp;I416)</x:f>
      </x:c>
    </x:row>
    <x:row r="417" ht="33" customHeight="1">
      <x:c r="A417" s="3"/>
      <x:c r="B417" s="3"/>
      <x:c r="C417" s="3"/>
      <x:c r="D417" s="3"/>
      <x:c r="E417" s="3"/>
      <x:c r="F417" s="3"/>
      <x:c r="G417" s="3"/>
      <x:c r="H417" s="3"/>
      <x:c r="I417" s="3"/>
      <x:c r="J417" s="3"/>
      <x:c r="K417" s="3"/>
      <x:c r="L417" s="6"/>
      <x:c r="M417" s="6"/>
      <x:c r="N417" s="6"/>
      <x:c r="O417" s="6"/>
      <x:c r="P417" s="6"/>
      <x:c r="Q417" s="7"/>
      <x:c r="R417" s="7"/>
      <x:c r="S417" s="7"/>
      <x:c r="T417" s="7"/>
      <x:c r="U417" s="7"/>
      <x:c r="V417" s="7"/>
      <x:c r="W417" s="7"/>
      <x:c r="X417" s="7"/>
      <x:c r="Y417" s="7"/>
      <x:c r="Z417" s="7"/>
      <x:c r="AA417" s="7"/>
      <x:c r="AB417" s="7"/>
      <x:c r="AC417" s="7"/>
      <x:c r="AD417" s="7"/>
      <x:c r="AE417" s="3"/>
      <x:c r="AF417" s="3"/>
      <x:c r="AG417" s="3"/>
      <x:c r="AH417" s="3"/>
      <x:c r="AI417" s="3"/>
      <x:c r="AJ417" s="9" t="str">
        <x:f>IF(A417="","",A417&amp;"|"&amp;B417)</x:f>
      </x:c>
      <x:c r="AK417" s="9" t="str">
        <x:f>IF(A417="",IF(B417="","","MISSING_TEST_ID"),IF(B417="","MISSING_RUN_ID",IF(COUNTIFS($A$2:$A$501,A417,$B$2:$B$501,B417)&lt;&gt;1,"DUPLICATE_ID","OK")))</x:f>
      </x:c>
      <x:c r="AL417" s="9" t="str">
        <x:f>IF(A417="","",IF(AND(AK417="OK",J417="READY",F417&lt;&gt;"",G417&lt;&gt;"",K417&lt;&gt;"",OR(L417="PASS",L417="FAIL"),M417&lt;&gt;"",P417="social-publication-v2"),"YES","NO"))</x:f>
      </x:c>
      <x:c r="AM417" s="9" t="str">
        <x:f>IF(A417="","",IF(AND(AK417="OK",J417="READY",F417&lt;&gt;"",G417&lt;&gt;"",K417&lt;&gt;"",S417="OK",OR(R417="PASS",R417="FAIL")),"YES","NO"))</x:f>
      </x:c>
      <x:c r="AN417" s="9" t="str">
        <x:f>IF(A417="","",F417&amp;" | "&amp;G417&amp;" | "&amp;H417&amp;" | "&amp;I417)</x:f>
      </x:c>
    </x:row>
    <x:row r="418" ht="33" customHeight="1">
      <x:c r="A418" s="3"/>
      <x:c r="B418" s="3"/>
      <x:c r="C418" s="3"/>
      <x:c r="D418" s="3"/>
      <x:c r="E418" s="3"/>
      <x:c r="F418" s="3"/>
      <x:c r="G418" s="3"/>
      <x:c r="H418" s="3"/>
      <x:c r="I418" s="3"/>
      <x:c r="J418" s="3"/>
      <x:c r="K418" s="3"/>
      <x:c r="L418" s="6"/>
      <x:c r="M418" s="6"/>
      <x:c r="N418" s="6"/>
      <x:c r="O418" s="6"/>
      <x:c r="P418" s="6"/>
      <x:c r="Q418" s="7"/>
      <x:c r="R418" s="7"/>
      <x:c r="S418" s="7"/>
      <x:c r="T418" s="7"/>
      <x:c r="U418" s="7"/>
      <x:c r="V418" s="7"/>
      <x:c r="W418" s="7"/>
      <x:c r="X418" s="7"/>
      <x:c r="Y418" s="7"/>
      <x:c r="Z418" s="7"/>
      <x:c r="AA418" s="7"/>
      <x:c r="AB418" s="7"/>
      <x:c r="AC418" s="7"/>
      <x:c r="AD418" s="7"/>
      <x:c r="AE418" s="3"/>
      <x:c r="AF418" s="3"/>
      <x:c r="AG418" s="3"/>
      <x:c r="AH418" s="3"/>
      <x:c r="AI418" s="3"/>
      <x:c r="AJ418" s="9" t="str">
        <x:f>IF(A418="","",A418&amp;"|"&amp;B418)</x:f>
      </x:c>
      <x:c r="AK418" s="9" t="str">
        <x:f>IF(A418="",IF(B418="","","MISSING_TEST_ID"),IF(B418="","MISSING_RUN_ID",IF(COUNTIFS($A$2:$A$501,A418,$B$2:$B$501,B418)&lt;&gt;1,"DUPLICATE_ID","OK")))</x:f>
      </x:c>
      <x:c r="AL418" s="9" t="str">
        <x:f>IF(A418="","",IF(AND(AK418="OK",J418="READY",F418&lt;&gt;"",G418&lt;&gt;"",K418&lt;&gt;"",OR(L418="PASS",L418="FAIL"),M418&lt;&gt;"",P418="social-publication-v2"),"YES","NO"))</x:f>
      </x:c>
      <x:c r="AM418" s="9" t="str">
        <x:f>IF(A418="","",IF(AND(AK418="OK",J418="READY",F418&lt;&gt;"",G418&lt;&gt;"",K418&lt;&gt;"",S418="OK",OR(R418="PASS",R418="FAIL")),"YES","NO"))</x:f>
      </x:c>
      <x:c r="AN418" s="9" t="str">
        <x:f>IF(A418="","",F418&amp;" | "&amp;G418&amp;" | "&amp;H418&amp;" | "&amp;I418)</x:f>
      </x:c>
    </x:row>
    <x:row r="419" ht="33" customHeight="1">
      <x:c r="A419" s="3"/>
      <x:c r="B419" s="3"/>
      <x:c r="C419" s="3"/>
      <x:c r="D419" s="3"/>
      <x:c r="E419" s="3"/>
      <x:c r="F419" s="3"/>
      <x:c r="G419" s="3"/>
      <x:c r="H419" s="3"/>
      <x:c r="I419" s="3"/>
      <x:c r="J419" s="3"/>
      <x:c r="K419" s="3"/>
      <x:c r="L419" s="6"/>
      <x:c r="M419" s="6"/>
      <x:c r="N419" s="6"/>
      <x:c r="O419" s="6"/>
      <x:c r="P419" s="6"/>
      <x:c r="Q419" s="7"/>
      <x:c r="R419" s="7"/>
      <x:c r="S419" s="7"/>
      <x:c r="T419" s="7"/>
      <x:c r="U419" s="7"/>
      <x:c r="V419" s="7"/>
      <x:c r="W419" s="7"/>
      <x:c r="X419" s="7"/>
      <x:c r="Y419" s="7"/>
      <x:c r="Z419" s="7"/>
      <x:c r="AA419" s="7"/>
      <x:c r="AB419" s="7"/>
      <x:c r="AC419" s="7"/>
      <x:c r="AD419" s="7"/>
      <x:c r="AE419" s="3"/>
      <x:c r="AF419" s="3"/>
      <x:c r="AG419" s="3"/>
      <x:c r="AH419" s="3"/>
      <x:c r="AI419" s="3"/>
      <x:c r="AJ419" s="9" t="str">
        <x:f>IF(A419="","",A419&amp;"|"&amp;B419)</x:f>
      </x:c>
      <x:c r="AK419" s="9" t="str">
        <x:f>IF(A419="",IF(B419="","","MISSING_TEST_ID"),IF(B419="","MISSING_RUN_ID",IF(COUNTIFS($A$2:$A$501,A419,$B$2:$B$501,B419)&lt;&gt;1,"DUPLICATE_ID","OK")))</x:f>
      </x:c>
      <x:c r="AL419" s="9" t="str">
        <x:f>IF(A419="","",IF(AND(AK419="OK",J419="READY",F419&lt;&gt;"",G419&lt;&gt;"",K419&lt;&gt;"",OR(L419="PASS",L419="FAIL"),M419&lt;&gt;"",P419="social-publication-v2"),"YES","NO"))</x:f>
      </x:c>
      <x:c r="AM419" s="9" t="str">
        <x:f>IF(A419="","",IF(AND(AK419="OK",J419="READY",F419&lt;&gt;"",G419&lt;&gt;"",K419&lt;&gt;"",S419="OK",OR(R419="PASS",R419="FAIL")),"YES","NO"))</x:f>
      </x:c>
      <x:c r="AN419" s="9" t="str">
        <x:f>IF(A419="","",F419&amp;" | "&amp;G419&amp;" | "&amp;H419&amp;" | "&amp;I419)</x:f>
      </x:c>
    </x:row>
    <x:row r="420" ht="33" customHeight="1">
      <x:c r="A420" s="3"/>
      <x:c r="B420" s="3"/>
      <x:c r="C420" s="3"/>
      <x:c r="D420" s="3"/>
      <x:c r="E420" s="3"/>
      <x:c r="F420" s="3"/>
      <x:c r="G420" s="3"/>
      <x:c r="H420" s="3"/>
      <x:c r="I420" s="3"/>
      <x:c r="J420" s="3"/>
      <x:c r="K420" s="3"/>
      <x:c r="L420" s="6"/>
      <x:c r="M420" s="6"/>
      <x:c r="N420" s="6"/>
      <x:c r="O420" s="6"/>
      <x:c r="P420" s="6"/>
      <x:c r="Q420" s="7"/>
      <x:c r="R420" s="7"/>
      <x:c r="S420" s="7"/>
      <x:c r="T420" s="7"/>
      <x:c r="U420" s="7"/>
      <x:c r="V420" s="7"/>
      <x:c r="W420" s="7"/>
      <x:c r="X420" s="7"/>
      <x:c r="Y420" s="7"/>
      <x:c r="Z420" s="7"/>
      <x:c r="AA420" s="7"/>
      <x:c r="AB420" s="7"/>
      <x:c r="AC420" s="7"/>
      <x:c r="AD420" s="7"/>
      <x:c r="AE420" s="3"/>
      <x:c r="AF420" s="3"/>
      <x:c r="AG420" s="3"/>
      <x:c r="AH420" s="3"/>
      <x:c r="AI420" s="3"/>
      <x:c r="AJ420" s="9" t="str">
        <x:f>IF(A420="","",A420&amp;"|"&amp;B420)</x:f>
      </x:c>
      <x:c r="AK420" s="9" t="str">
        <x:f>IF(A420="",IF(B420="","","MISSING_TEST_ID"),IF(B420="","MISSING_RUN_ID",IF(COUNTIFS($A$2:$A$501,A420,$B$2:$B$501,B420)&lt;&gt;1,"DUPLICATE_ID","OK")))</x:f>
      </x:c>
      <x:c r="AL420" s="9" t="str">
        <x:f>IF(A420="","",IF(AND(AK420="OK",J420="READY",F420&lt;&gt;"",G420&lt;&gt;"",K420&lt;&gt;"",OR(L420="PASS",L420="FAIL"),M420&lt;&gt;"",P420="social-publication-v2"),"YES","NO"))</x:f>
      </x:c>
      <x:c r="AM420" s="9" t="str">
        <x:f>IF(A420="","",IF(AND(AK420="OK",J420="READY",F420&lt;&gt;"",G420&lt;&gt;"",K420&lt;&gt;"",S420="OK",OR(R420="PASS",R420="FAIL")),"YES","NO"))</x:f>
      </x:c>
      <x:c r="AN420" s="9" t="str">
        <x:f>IF(A420="","",F420&amp;" | "&amp;G420&amp;" | "&amp;H420&amp;" | "&amp;I420)</x:f>
      </x:c>
    </x:row>
    <x:row r="421" ht="33" customHeight="1">
      <x:c r="A421" s="3"/>
      <x:c r="B421" s="3"/>
      <x:c r="C421" s="3"/>
      <x:c r="D421" s="3"/>
      <x:c r="E421" s="3"/>
      <x:c r="F421" s="3"/>
      <x:c r="G421" s="3"/>
      <x:c r="H421" s="3"/>
      <x:c r="I421" s="3"/>
      <x:c r="J421" s="3"/>
      <x:c r="K421" s="3"/>
      <x:c r="L421" s="6"/>
      <x:c r="M421" s="6"/>
      <x:c r="N421" s="6"/>
      <x:c r="O421" s="6"/>
      <x:c r="P421" s="6"/>
      <x:c r="Q421" s="7"/>
      <x:c r="R421" s="7"/>
      <x:c r="S421" s="7"/>
      <x:c r="T421" s="7"/>
      <x:c r="U421" s="7"/>
      <x:c r="V421" s="7"/>
      <x:c r="W421" s="7"/>
      <x:c r="X421" s="7"/>
      <x:c r="Y421" s="7"/>
      <x:c r="Z421" s="7"/>
      <x:c r="AA421" s="7"/>
      <x:c r="AB421" s="7"/>
      <x:c r="AC421" s="7"/>
      <x:c r="AD421" s="7"/>
      <x:c r="AE421" s="3"/>
      <x:c r="AF421" s="3"/>
      <x:c r="AG421" s="3"/>
      <x:c r="AH421" s="3"/>
      <x:c r="AI421" s="3"/>
      <x:c r="AJ421" s="9" t="str">
        <x:f>IF(A421="","",A421&amp;"|"&amp;B421)</x:f>
      </x:c>
      <x:c r="AK421" s="9" t="str">
        <x:f>IF(A421="",IF(B421="","","MISSING_TEST_ID"),IF(B421="","MISSING_RUN_ID",IF(COUNTIFS($A$2:$A$501,A421,$B$2:$B$501,B421)&lt;&gt;1,"DUPLICATE_ID","OK")))</x:f>
      </x:c>
      <x:c r="AL421" s="9" t="str">
        <x:f>IF(A421="","",IF(AND(AK421="OK",J421="READY",F421&lt;&gt;"",G421&lt;&gt;"",K421&lt;&gt;"",OR(L421="PASS",L421="FAIL"),M421&lt;&gt;"",P421="social-publication-v2"),"YES","NO"))</x:f>
      </x:c>
      <x:c r="AM421" s="9" t="str">
        <x:f>IF(A421="","",IF(AND(AK421="OK",J421="READY",F421&lt;&gt;"",G421&lt;&gt;"",K421&lt;&gt;"",S421="OK",OR(R421="PASS",R421="FAIL")),"YES","NO"))</x:f>
      </x:c>
      <x:c r="AN421" s="9" t="str">
        <x:f>IF(A421="","",F421&amp;" | "&amp;G421&amp;" | "&amp;H421&amp;" | "&amp;I421)</x:f>
      </x:c>
    </x:row>
    <x:row r="422" ht="33" customHeight="1">
      <x:c r="A422" s="3"/>
      <x:c r="B422" s="3"/>
      <x:c r="C422" s="3"/>
      <x:c r="D422" s="3"/>
      <x:c r="E422" s="3"/>
      <x:c r="F422" s="3"/>
      <x:c r="G422" s="3"/>
      <x:c r="H422" s="3"/>
      <x:c r="I422" s="3"/>
      <x:c r="J422" s="3"/>
      <x:c r="K422" s="3"/>
      <x:c r="L422" s="6"/>
      <x:c r="M422" s="6"/>
      <x:c r="N422" s="6"/>
      <x:c r="O422" s="6"/>
      <x:c r="P422" s="6"/>
      <x:c r="Q422" s="7"/>
      <x:c r="R422" s="7"/>
      <x:c r="S422" s="7"/>
      <x:c r="T422" s="7"/>
      <x:c r="U422" s="7"/>
      <x:c r="V422" s="7"/>
      <x:c r="W422" s="7"/>
      <x:c r="X422" s="7"/>
      <x:c r="Y422" s="7"/>
      <x:c r="Z422" s="7"/>
      <x:c r="AA422" s="7"/>
      <x:c r="AB422" s="7"/>
      <x:c r="AC422" s="7"/>
      <x:c r="AD422" s="7"/>
      <x:c r="AE422" s="3"/>
      <x:c r="AF422" s="3"/>
      <x:c r="AG422" s="3"/>
      <x:c r="AH422" s="3"/>
      <x:c r="AI422" s="3"/>
      <x:c r="AJ422" s="9" t="str">
        <x:f>IF(A422="","",A422&amp;"|"&amp;B422)</x:f>
      </x:c>
      <x:c r="AK422" s="9" t="str">
        <x:f>IF(A422="",IF(B422="","","MISSING_TEST_ID"),IF(B422="","MISSING_RUN_ID",IF(COUNTIFS($A$2:$A$501,A422,$B$2:$B$501,B422)&lt;&gt;1,"DUPLICATE_ID","OK")))</x:f>
      </x:c>
      <x:c r="AL422" s="9" t="str">
        <x:f>IF(A422="","",IF(AND(AK422="OK",J422="READY",F422&lt;&gt;"",G422&lt;&gt;"",K422&lt;&gt;"",OR(L422="PASS",L422="FAIL"),M422&lt;&gt;"",P422="social-publication-v2"),"YES","NO"))</x:f>
      </x:c>
      <x:c r="AM422" s="9" t="str">
        <x:f>IF(A422="","",IF(AND(AK422="OK",J422="READY",F422&lt;&gt;"",G422&lt;&gt;"",K422&lt;&gt;"",S422="OK",OR(R422="PASS",R422="FAIL")),"YES","NO"))</x:f>
      </x:c>
      <x:c r="AN422" s="9" t="str">
        <x:f>IF(A422="","",F422&amp;" | "&amp;G422&amp;" | "&amp;H422&amp;" | "&amp;I422)</x:f>
      </x:c>
    </x:row>
    <x:row r="423" ht="33" customHeight="1">
      <x:c r="A423" s="3"/>
      <x:c r="B423" s="3"/>
      <x:c r="C423" s="3"/>
      <x:c r="D423" s="3"/>
      <x:c r="E423" s="3"/>
      <x:c r="F423" s="3"/>
      <x:c r="G423" s="3"/>
      <x:c r="H423" s="3"/>
      <x:c r="I423" s="3"/>
      <x:c r="J423" s="3"/>
      <x:c r="K423" s="3"/>
      <x:c r="L423" s="6"/>
      <x:c r="M423" s="6"/>
      <x:c r="N423" s="6"/>
      <x:c r="O423" s="6"/>
      <x:c r="P423" s="6"/>
      <x:c r="Q423" s="7"/>
      <x:c r="R423" s="7"/>
      <x:c r="S423" s="7"/>
      <x:c r="T423" s="7"/>
      <x:c r="U423" s="7"/>
      <x:c r="V423" s="7"/>
      <x:c r="W423" s="7"/>
      <x:c r="X423" s="7"/>
      <x:c r="Y423" s="7"/>
      <x:c r="Z423" s="7"/>
      <x:c r="AA423" s="7"/>
      <x:c r="AB423" s="7"/>
      <x:c r="AC423" s="7"/>
      <x:c r="AD423" s="7"/>
      <x:c r="AE423" s="3"/>
      <x:c r="AF423" s="3"/>
      <x:c r="AG423" s="3"/>
      <x:c r="AH423" s="3"/>
      <x:c r="AI423" s="3"/>
      <x:c r="AJ423" s="9" t="str">
        <x:f>IF(A423="","",A423&amp;"|"&amp;B423)</x:f>
      </x:c>
      <x:c r="AK423" s="9" t="str">
        <x:f>IF(A423="",IF(B423="","","MISSING_TEST_ID"),IF(B423="","MISSING_RUN_ID",IF(COUNTIFS($A$2:$A$501,A423,$B$2:$B$501,B423)&lt;&gt;1,"DUPLICATE_ID","OK")))</x:f>
      </x:c>
      <x:c r="AL423" s="9" t="str">
        <x:f>IF(A423="","",IF(AND(AK423="OK",J423="READY",F423&lt;&gt;"",G423&lt;&gt;"",K423&lt;&gt;"",OR(L423="PASS",L423="FAIL"),M423&lt;&gt;"",P423="social-publication-v2"),"YES","NO"))</x:f>
      </x:c>
      <x:c r="AM423" s="9" t="str">
        <x:f>IF(A423="","",IF(AND(AK423="OK",J423="READY",F423&lt;&gt;"",G423&lt;&gt;"",K423&lt;&gt;"",S423="OK",OR(R423="PASS",R423="FAIL")),"YES","NO"))</x:f>
      </x:c>
      <x:c r="AN423" s="9" t="str">
        <x:f>IF(A423="","",F423&amp;" | "&amp;G423&amp;" | "&amp;H423&amp;" | "&amp;I423)</x:f>
      </x:c>
    </x:row>
    <x:row r="424" ht="33" customHeight="1">
      <x:c r="A424" s="3"/>
      <x:c r="B424" s="3"/>
      <x:c r="C424" s="3"/>
      <x:c r="D424" s="3"/>
      <x:c r="E424" s="3"/>
      <x:c r="F424" s="3"/>
      <x:c r="G424" s="3"/>
      <x:c r="H424" s="3"/>
      <x:c r="I424" s="3"/>
      <x:c r="J424" s="3"/>
      <x:c r="K424" s="3"/>
      <x:c r="L424" s="6"/>
      <x:c r="M424" s="6"/>
      <x:c r="N424" s="6"/>
      <x:c r="O424" s="6"/>
      <x:c r="P424" s="6"/>
      <x:c r="Q424" s="7"/>
      <x:c r="R424" s="7"/>
      <x:c r="S424" s="7"/>
      <x:c r="T424" s="7"/>
      <x:c r="U424" s="7"/>
      <x:c r="V424" s="7"/>
      <x:c r="W424" s="7"/>
      <x:c r="X424" s="7"/>
      <x:c r="Y424" s="7"/>
      <x:c r="Z424" s="7"/>
      <x:c r="AA424" s="7"/>
      <x:c r="AB424" s="7"/>
      <x:c r="AC424" s="7"/>
      <x:c r="AD424" s="7"/>
      <x:c r="AE424" s="3"/>
      <x:c r="AF424" s="3"/>
      <x:c r="AG424" s="3"/>
      <x:c r="AH424" s="3"/>
      <x:c r="AI424" s="3"/>
      <x:c r="AJ424" s="9" t="str">
        <x:f>IF(A424="","",A424&amp;"|"&amp;B424)</x:f>
      </x:c>
      <x:c r="AK424" s="9" t="str">
        <x:f>IF(A424="",IF(B424="","","MISSING_TEST_ID"),IF(B424="","MISSING_RUN_ID",IF(COUNTIFS($A$2:$A$501,A424,$B$2:$B$501,B424)&lt;&gt;1,"DUPLICATE_ID","OK")))</x:f>
      </x:c>
      <x:c r="AL424" s="9" t="str">
        <x:f>IF(A424="","",IF(AND(AK424="OK",J424="READY",F424&lt;&gt;"",G424&lt;&gt;"",K424&lt;&gt;"",OR(L424="PASS",L424="FAIL"),M424&lt;&gt;"",P424="social-publication-v2"),"YES","NO"))</x:f>
      </x:c>
      <x:c r="AM424" s="9" t="str">
        <x:f>IF(A424="","",IF(AND(AK424="OK",J424="READY",F424&lt;&gt;"",G424&lt;&gt;"",K424&lt;&gt;"",S424="OK",OR(R424="PASS",R424="FAIL")),"YES","NO"))</x:f>
      </x:c>
      <x:c r="AN424" s="9" t="str">
        <x:f>IF(A424="","",F424&amp;" | "&amp;G424&amp;" | "&amp;H424&amp;" | "&amp;I424)</x:f>
      </x:c>
    </x:row>
    <x:row r="425" ht="33" customHeight="1">
      <x:c r="A425" s="3"/>
      <x:c r="B425" s="3"/>
      <x:c r="C425" s="3"/>
      <x:c r="D425" s="3"/>
      <x:c r="E425" s="3"/>
      <x:c r="F425" s="3"/>
      <x:c r="G425" s="3"/>
      <x:c r="H425" s="3"/>
      <x:c r="I425" s="3"/>
      <x:c r="J425" s="3"/>
      <x:c r="K425" s="3"/>
      <x:c r="L425" s="6"/>
      <x:c r="M425" s="6"/>
      <x:c r="N425" s="6"/>
      <x:c r="O425" s="6"/>
      <x:c r="P425" s="6"/>
      <x:c r="Q425" s="7"/>
      <x:c r="R425" s="7"/>
      <x:c r="S425" s="7"/>
      <x:c r="T425" s="7"/>
      <x:c r="U425" s="7"/>
      <x:c r="V425" s="7"/>
      <x:c r="W425" s="7"/>
      <x:c r="X425" s="7"/>
      <x:c r="Y425" s="7"/>
      <x:c r="Z425" s="7"/>
      <x:c r="AA425" s="7"/>
      <x:c r="AB425" s="7"/>
      <x:c r="AC425" s="7"/>
      <x:c r="AD425" s="7"/>
      <x:c r="AE425" s="3"/>
      <x:c r="AF425" s="3"/>
      <x:c r="AG425" s="3"/>
      <x:c r="AH425" s="3"/>
      <x:c r="AI425" s="3"/>
      <x:c r="AJ425" s="9" t="str">
        <x:f>IF(A425="","",A425&amp;"|"&amp;B425)</x:f>
      </x:c>
      <x:c r="AK425" s="9" t="str">
        <x:f>IF(A425="",IF(B425="","","MISSING_TEST_ID"),IF(B425="","MISSING_RUN_ID",IF(COUNTIFS($A$2:$A$501,A425,$B$2:$B$501,B425)&lt;&gt;1,"DUPLICATE_ID","OK")))</x:f>
      </x:c>
      <x:c r="AL425" s="9" t="str">
        <x:f>IF(A425="","",IF(AND(AK425="OK",J425="READY",F425&lt;&gt;"",G425&lt;&gt;"",K425&lt;&gt;"",OR(L425="PASS",L425="FAIL"),M425&lt;&gt;"",P425="social-publication-v2"),"YES","NO"))</x:f>
      </x:c>
      <x:c r="AM425" s="9" t="str">
        <x:f>IF(A425="","",IF(AND(AK425="OK",J425="READY",F425&lt;&gt;"",G425&lt;&gt;"",K425&lt;&gt;"",S425="OK",OR(R425="PASS",R425="FAIL")),"YES","NO"))</x:f>
      </x:c>
      <x:c r="AN425" s="9" t="str">
        <x:f>IF(A425="","",F425&amp;" | "&amp;G425&amp;" | "&amp;H425&amp;" | "&amp;I425)</x:f>
      </x:c>
    </x:row>
    <x:row r="426" ht="33" customHeight="1">
      <x:c r="A426" s="3"/>
      <x:c r="B426" s="3"/>
      <x:c r="C426" s="3"/>
      <x:c r="D426" s="3"/>
      <x:c r="E426" s="3"/>
      <x:c r="F426" s="3"/>
      <x:c r="G426" s="3"/>
      <x:c r="H426" s="3"/>
      <x:c r="I426" s="3"/>
      <x:c r="J426" s="3"/>
      <x:c r="K426" s="3"/>
      <x:c r="L426" s="6"/>
      <x:c r="M426" s="6"/>
      <x:c r="N426" s="6"/>
      <x:c r="O426" s="6"/>
      <x:c r="P426" s="6"/>
      <x:c r="Q426" s="7"/>
      <x:c r="R426" s="7"/>
      <x:c r="S426" s="7"/>
      <x:c r="T426" s="7"/>
      <x:c r="U426" s="7"/>
      <x:c r="V426" s="7"/>
      <x:c r="W426" s="7"/>
      <x:c r="X426" s="7"/>
      <x:c r="Y426" s="7"/>
      <x:c r="Z426" s="7"/>
      <x:c r="AA426" s="7"/>
      <x:c r="AB426" s="7"/>
      <x:c r="AC426" s="7"/>
      <x:c r="AD426" s="7"/>
      <x:c r="AE426" s="3"/>
      <x:c r="AF426" s="3"/>
      <x:c r="AG426" s="3"/>
      <x:c r="AH426" s="3"/>
      <x:c r="AI426" s="3"/>
      <x:c r="AJ426" s="9" t="str">
        <x:f>IF(A426="","",A426&amp;"|"&amp;B426)</x:f>
      </x:c>
      <x:c r="AK426" s="9" t="str">
        <x:f>IF(A426="",IF(B426="","","MISSING_TEST_ID"),IF(B426="","MISSING_RUN_ID",IF(COUNTIFS($A$2:$A$501,A426,$B$2:$B$501,B426)&lt;&gt;1,"DUPLICATE_ID","OK")))</x:f>
      </x:c>
      <x:c r="AL426" s="9" t="str">
        <x:f>IF(A426="","",IF(AND(AK426="OK",J426="READY",F426&lt;&gt;"",G426&lt;&gt;"",K426&lt;&gt;"",OR(L426="PASS",L426="FAIL"),M426&lt;&gt;"",P426="social-publication-v2"),"YES","NO"))</x:f>
      </x:c>
      <x:c r="AM426" s="9" t="str">
        <x:f>IF(A426="","",IF(AND(AK426="OK",J426="READY",F426&lt;&gt;"",G426&lt;&gt;"",K426&lt;&gt;"",S426="OK",OR(R426="PASS",R426="FAIL")),"YES","NO"))</x:f>
      </x:c>
      <x:c r="AN426" s="9" t="str">
        <x:f>IF(A426="","",F426&amp;" | "&amp;G426&amp;" | "&amp;H426&amp;" | "&amp;I426)</x:f>
      </x:c>
    </x:row>
    <x:row r="427" ht="33" customHeight="1">
      <x:c r="A427" s="3"/>
      <x:c r="B427" s="3"/>
      <x:c r="C427" s="3"/>
      <x:c r="D427" s="3"/>
      <x:c r="E427" s="3"/>
      <x:c r="F427" s="3"/>
      <x:c r="G427" s="3"/>
      <x:c r="H427" s="3"/>
      <x:c r="I427" s="3"/>
      <x:c r="J427" s="3"/>
      <x:c r="K427" s="3"/>
      <x:c r="L427" s="6"/>
      <x:c r="M427" s="6"/>
      <x:c r="N427" s="6"/>
      <x:c r="O427" s="6"/>
      <x:c r="P427" s="6"/>
      <x:c r="Q427" s="7"/>
      <x:c r="R427" s="7"/>
      <x:c r="S427" s="7"/>
      <x:c r="T427" s="7"/>
      <x:c r="U427" s="7"/>
      <x:c r="V427" s="7"/>
      <x:c r="W427" s="7"/>
      <x:c r="X427" s="7"/>
      <x:c r="Y427" s="7"/>
      <x:c r="Z427" s="7"/>
      <x:c r="AA427" s="7"/>
      <x:c r="AB427" s="7"/>
      <x:c r="AC427" s="7"/>
      <x:c r="AD427" s="7"/>
      <x:c r="AE427" s="3"/>
      <x:c r="AF427" s="3"/>
      <x:c r="AG427" s="3"/>
      <x:c r="AH427" s="3"/>
      <x:c r="AI427" s="3"/>
      <x:c r="AJ427" s="9" t="str">
        <x:f>IF(A427="","",A427&amp;"|"&amp;B427)</x:f>
      </x:c>
      <x:c r="AK427" s="9" t="str">
        <x:f>IF(A427="",IF(B427="","","MISSING_TEST_ID"),IF(B427="","MISSING_RUN_ID",IF(COUNTIFS($A$2:$A$501,A427,$B$2:$B$501,B427)&lt;&gt;1,"DUPLICATE_ID","OK")))</x:f>
      </x:c>
      <x:c r="AL427" s="9" t="str">
        <x:f>IF(A427="","",IF(AND(AK427="OK",J427="READY",F427&lt;&gt;"",G427&lt;&gt;"",K427&lt;&gt;"",OR(L427="PASS",L427="FAIL"),M427&lt;&gt;"",P427="social-publication-v2"),"YES","NO"))</x:f>
      </x:c>
      <x:c r="AM427" s="9" t="str">
        <x:f>IF(A427="","",IF(AND(AK427="OK",J427="READY",F427&lt;&gt;"",G427&lt;&gt;"",K427&lt;&gt;"",S427="OK",OR(R427="PASS",R427="FAIL")),"YES","NO"))</x:f>
      </x:c>
      <x:c r="AN427" s="9" t="str">
        <x:f>IF(A427="","",F427&amp;" | "&amp;G427&amp;" | "&amp;H427&amp;" | "&amp;I427)</x:f>
      </x:c>
    </x:row>
    <x:row r="428" ht="33" customHeight="1">
      <x:c r="A428" s="3"/>
      <x:c r="B428" s="3"/>
      <x:c r="C428" s="3"/>
      <x:c r="D428" s="3"/>
      <x:c r="E428" s="3"/>
      <x:c r="F428" s="3"/>
      <x:c r="G428" s="3"/>
      <x:c r="H428" s="3"/>
      <x:c r="I428" s="3"/>
      <x:c r="J428" s="3"/>
      <x:c r="K428" s="3"/>
      <x:c r="L428" s="6"/>
      <x:c r="M428" s="6"/>
      <x:c r="N428" s="6"/>
      <x:c r="O428" s="6"/>
      <x:c r="P428" s="6"/>
      <x:c r="Q428" s="7"/>
      <x:c r="R428" s="7"/>
      <x:c r="S428" s="7"/>
      <x:c r="T428" s="7"/>
      <x:c r="U428" s="7"/>
      <x:c r="V428" s="7"/>
      <x:c r="W428" s="7"/>
      <x:c r="X428" s="7"/>
      <x:c r="Y428" s="7"/>
      <x:c r="Z428" s="7"/>
      <x:c r="AA428" s="7"/>
      <x:c r="AB428" s="7"/>
      <x:c r="AC428" s="7"/>
      <x:c r="AD428" s="7"/>
      <x:c r="AE428" s="3"/>
      <x:c r="AF428" s="3"/>
      <x:c r="AG428" s="3"/>
      <x:c r="AH428" s="3"/>
      <x:c r="AI428" s="3"/>
      <x:c r="AJ428" s="9" t="str">
        <x:f>IF(A428="","",A428&amp;"|"&amp;B428)</x:f>
      </x:c>
      <x:c r="AK428" s="9" t="str">
        <x:f>IF(A428="",IF(B428="","","MISSING_TEST_ID"),IF(B428="","MISSING_RUN_ID",IF(COUNTIFS($A$2:$A$501,A428,$B$2:$B$501,B428)&lt;&gt;1,"DUPLICATE_ID","OK")))</x:f>
      </x:c>
      <x:c r="AL428" s="9" t="str">
        <x:f>IF(A428="","",IF(AND(AK428="OK",J428="READY",F428&lt;&gt;"",G428&lt;&gt;"",K428&lt;&gt;"",OR(L428="PASS",L428="FAIL"),M428&lt;&gt;"",P428="social-publication-v2"),"YES","NO"))</x:f>
      </x:c>
      <x:c r="AM428" s="9" t="str">
        <x:f>IF(A428="","",IF(AND(AK428="OK",J428="READY",F428&lt;&gt;"",G428&lt;&gt;"",K428&lt;&gt;"",S428="OK",OR(R428="PASS",R428="FAIL")),"YES","NO"))</x:f>
      </x:c>
      <x:c r="AN428" s="9" t="str">
        <x:f>IF(A428="","",F428&amp;" | "&amp;G428&amp;" | "&amp;H428&amp;" | "&amp;I428)</x:f>
      </x:c>
    </x:row>
    <x:row r="429" ht="33" customHeight="1">
      <x:c r="A429" s="3"/>
      <x:c r="B429" s="3"/>
      <x:c r="C429" s="3"/>
      <x:c r="D429" s="3"/>
      <x:c r="E429" s="3"/>
      <x:c r="F429" s="3"/>
      <x:c r="G429" s="3"/>
      <x:c r="H429" s="3"/>
      <x:c r="I429" s="3"/>
      <x:c r="J429" s="3"/>
      <x:c r="K429" s="3"/>
      <x:c r="L429" s="6"/>
      <x:c r="M429" s="6"/>
      <x:c r="N429" s="6"/>
      <x:c r="O429" s="6"/>
      <x:c r="P429" s="6"/>
      <x:c r="Q429" s="7"/>
      <x:c r="R429" s="7"/>
      <x:c r="S429" s="7"/>
      <x:c r="T429" s="7"/>
      <x:c r="U429" s="7"/>
      <x:c r="V429" s="7"/>
      <x:c r="W429" s="7"/>
      <x:c r="X429" s="7"/>
      <x:c r="Y429" s="7"/>
      <x:c r="Z429" s="7"/>
      <x:c r="AA429" s="7"/>
      <x:c r="AB429" s="7"/>
      <x:c r="AC429" s="7"/>
      <x:c r="AD429" s="7"/>
      <x:c r="AE429" s="3"/>
      <x:c r="AF429" s="3"/>
      <x:c r="AG429" s="3"/>
      <x:c r="AH429" s="3"/>
      <x:c r="AI429" s="3"/>
      <x:c r="AJ429" s="9" t="str">
        <x:f>IF(A429="","",A429&amp;"|"&amp;B429)</x:f>
      </x:c>
      <x:c r="AK429" s="9" t="str">
        <x:f>IF(A429="",IF(B429="","","MISSING_TEST_ID"),IF(B429="","MISSING_RUN_ID",IF(COUNTIFS($A$2:$A$501,A429,$B$2:$B$501,B429)&lt;&gt;1,"DUPLICATE_ID","OK")))</x:f>
      </x:c>
      <x:c r="AL429" s="9" t="str">
        <x:f>IF(A429="","",IF(AND(AK429="OK",J429="READY",F429&lt;&gt;"",G429&lt;&gt;"",K429&lt;&gt;"",OR(L429="PASS",L429="FAIL"),M429&lt;&gt;"",P429="social-publication-v2"),"YES","NO"))</x:f>
      </x:c>
      <x:c r="AM429" s="9" t="str">
        <x:f>IF(A429="","",IF(AND(AK429="OK",J429="READY",F429&lt;&gt;"",G429&lt;&gt;"",K429&lt;&gt;"",S429="OK",OR(R429="PASS",R429="FAIL")),"YES","NO"))</x:f>
      </x:c>
      <x:c r="AN429" s="9" t="str">
        <x:f>IF(A429="","",F429&amp;" | "&amp;G429&amp;" | "&amp;H429&amp;" | "&amp;I429)</x:f>
      </x:c>
    </x:row>
    <x:row r="430" ht="33" customHeight="1">
      <x:c r="A430" s="3"/>
      <x:c r="B430" s="3"/>
      <x:c r="C430" s="3"/>
      <x:c r="D430" s="3"/>
      <x:c r="E430" s="3"/>
      <x:c r="F430" s="3"/>
      <x:c r="G430" s="3"/>
      <x:c r="H430" s="3"/>
      <x:c r="I430" s="3"/>
      <x:c r="J430" s="3"/>
      <x:c r="K430" s="3"/>
      <x:c r="L430" s="6"/>
      <x:c r="M430" s="6"/>
      <x:c r="N430" s="6"/>
      <x:c r="O430" s="6"/>
      <x:c r="P430" s="6"/>
      <x:c r="Q430" s="7"/>
      <x:c r="R430" s="7"/>
      <x:c r="S430" s="7"/>
      <x:c r="T430" s="7"/>
      <x:c r="U430" s="7"/>
      <x:c r="V430" s="7"/>
      <x:c r="W430" s="7"/>
      <x:c r="X430" s="7"/>
      <x:c r="Y430" s="7"/>
      <x:c r="Z430" s="7"/>
      <x:c r="AA430" s="7"/>
      <x:c r="AB430" s="7"/>
      <x:c r="AC430" s="7"/>
      <x:c r="AD430" s="7"/>
      <x:c r="AE430" s="3"/>
      <x:c r="AF430" s="3"/>
      <x:c r="AG430" s="3"/>
      <x:c r="AH430" s="3"/>
      <x:c r="AI430" s="3"/>
      <x:c r="AJ430" s="9" t="str">
        <x:f>IF(A430="","",A430&amp;"|"&amp;B430)</x:f>
      </x:c>
      <x:c r="AK430" s="9" t="str">
        <x:f>IF(A430="",IF(B430="","","MISSING_TEST_ID"),IF(B430="","MISSING_RUN_ID",IF(COUNTIFS($A$2:$A$501,A430,$B$2:$B$501,B430)&lt;&gt;1,"DUPLICATE_ID","OK")))</x:f>
      </x:c>
      <x:c r="AL430" s="9" t="str">
        <x:f>IF(A430="","",IF(AND(AK430="OK",J430="READY",F430&lt;&gt;"",G430&lt;&gt;"",K430&lt;&gt;"",OR(L430="PASS",L430="FAIL"),M430&lt;&gt;"",P430="social-publication-v2"),"YES","NO"))</x:f>
      </x:c>
      <x:c r="AM430" s="9" t="str">
        <x:f>IF(A430="","",IF(AND(AK430="OK",J430="READY",F430&lt;&gt;"",G430&lt;&gt;"",K430&lt;&gt;"",S430="OK",OR(R430="PASS",R430="FAIL")),"YES","NO"))</x:f>
      </x:c>
      <x:c r="AN430" s="9" t="str">
        <x:f>IF(A430="","",F430&amp;" | "&amp;G430&amp;" | "&amp;H430&amp;" | "&amp;I430)</x:f>
      </x:c>
    </x:row>
    <x:row r="431" ht="33" customHeight="1">
      <x:c r="A431" s="3"/>
      <x:c r="B431" s="3"/>
      <x:c r="C431" s="3"/>
      <x:c r="D431" s="3"/>
      <x:c r="E431" s="3"/>
      <x:c r="F431" s="3"/>
      <x:c r="G431" s="3"/>
      <x:c r="H431" s="3"/>
      <x:c r="I431" s="3"/>
      <x:c r="J431" s="3"/>
      <x:c r="K431" s="3"/>
      <x:c r="L431" s="6"/>
      <x:c r="M431" s="6"/>
      <x:c r="N431" s="6"/>
      <x:c r="O431" s="6"/>
      <x:c r="P431" s="6"/>
      <x:c r="Q431" s="7"/>
      <x:c r="R431" s="7"/>
      <x:c r="S431" s="7"/>
      <x:c r="T431" s="7"/>
      <x:c r="U431" s="7"/>
      <x:c r="V431" s="7"/>
      <x:c r="W431" s="7"/>
      <x:c r="X431" s="7"/>
      <x:c r="Y431" s="7"/>
      <x:c r="Z431" s="7"/>
      <x:c r="AA431" s="7"/>
      <x:c r="AB431" s="7"/>
      <x:c r="AC431" s="7"/>
      <x:c r="AD431" s="7"/>
      <x:c r="AE431" s="3"/>
      <x:c r="AF431" s="3"/>
      <x:c r="AG431" s="3"/>
      <x:c r="AH431" s="3"/>
      <x:c r="AI431" s="3"/>
      <x:c r="AJ431" s="9" t="str">
        <x:f>IF(A431="","",A431&amp;"|"&amp;B431)</x:f>
      </x:c>
      <x:c r="AK431" s="9" t="str">
        <x:f>IF(A431="",IF(B431="","","MISSING_TEST_ID"),IF(B431="","MISSING_RUN_ID",IF(COUNTIFS($A$2:$A$501,A431,$B$2:$B$501,B431)&lt;&gt;1,"DUPLICATE_ID","OK")))</x:f>
      </x:c>
      <x:c r="AL431" s="9" t="str">
        <x:f>IF(A431="","",IF(AND(AK431="OK",J431="READY",F431&lt;&gt;"",G431&lt;&gt;"",K431&lt;&gt;"",OR(L431="PASS",L431="FAIL"),M431&lt;&gt;"",P431="social-publication-v2"),"YES","NO"))</x:f>
      </x:c>
      <x:c r="AM431" s="9" t="str">
        <x:f>IF(A431="","",IF(AND(AK431="OK",J431="READY",F431&lt;&gt;"",G431&lt;&gt;"",K431&lt;&gt;"",S431="OK",OR(R431="PASS",R431="FAIL")),"YES","NO"))</x:f>
      </x:c>
      <x:c r="AN431" s="9" t="str">
        <x:f>IF(A431="","",F431&amp;" | "&amp;G431&amp;" | "&amp;H431&amp;" | "&amp;I431)</x:f>
      </x:c>
    </x:row>
    <x:row r="432" ht="33" customHeight="1">
      <x:c r="A432" s="3"/>
      <x:c r="B432" s="3"/>
      <x:c r="C432" s="3"/>
      <x:c r="D432" s="3"/>
      <x:c r="E432" s="3"/>
      <x:c r="F432" s="3"/>
      <x:c r="G432" s="3"/>
      <x:c r="H432" s="3"/>
      <x:c r="I432" s="3"/>
      <x:c r="J432" s="3"/>
      <x:c r="K432" s="3"/>
      <x:c r="L432" s="6"/>
      <x:c r="M432" s="6"/>
      <x:c r="N432" s="6"/>
      <x:c r="O432" s="6"/>
      <x:c r="P432" s="6"/>
      <x:c r="Q432" s="7"/>
      <x:c r="R432" s="7"/>
      <x:c r="S432" s="7"/>
      <x:c r="T432" s="7"/>
      <x:c r="U432" s="7"/>
      <x:c r="V432" s="7"/>
      <x:c r="W432" s="7"/>
      <x:c r="X432" s="7"/>
      <x:c r="Y432" s="7"/>
      <x:c r="Z432" s="7"/>
      <x:c r="AA432" s="7"/>
      <x:c r="AB432" s="7"/>
      <x:c r="AC432" s="7"/>
      <x:c r="AD432" s="7"/>
      <x:c r="AE432" s="3"/>
      <x:c r="AF432" s="3"/>
      <x:c r="AG432" s="3"/>
      <x:c r="AH432" s="3"/>
      <x:c r="AI432" s="3"/>
      <x:c r="AJ432" s="9" t="str">
        <x:f>IF(A432="","",A432&amp;"|"&amp;B432)</x:f>
      </x:c>
      <x:c r="AK432" s="9" t="str">
        <x:f>IF(A432="",IF(B432="","","MISSING_TEST_ID"),IF(B432="","MISSING_RUN_ID",IF(COUNTIFS($A$2:$A$501,A432,$B$2:$B$501,B432)&lt;&gt;1,"DUPLICATE_ID","OK")))</x:f>
      </x:c>
      <x:c r="AL432" s="9" t="str">
        <x:f>IF(A432="","",IF(AND(AK432="OK",J432="READY",F432&lt;&gt;"",G432&lt;&gt;"",K432&lt;&gt;"",OR(L432="PASS",L432="FAIL"),M432&lt;&gt;"",P432="social-publication-v2"),"YES","NO"))</x:f>
      </x:c>
      <x:c r="AM432" s="9" t="str">
        <x:f>IF(A432="","",IF(AND(AK432="OK",J432="READY",F432&lt;&gt;"",G432&lt;&gt;"",K432&lt;&gt;"",S432="OK",OR(R432="PASS",R432="FAIL")),"YES","NO"))</x:f>
      </x:c>
      <x:c r="AN432" s="9" t="str">
        <x:f>IF(A432="","",F432&amp;" | "&amp;G432&amp;" | "&amp;H432&amp;" | "&amp;I432)</x:f>
      </x:c>
    </x:row>
    <x:row r="433" ht="33" customHeight="1">
      <x:c r="A433" s="3"/>
      <x:c r="B433" s="3"/>
      <x:c r="C433" s="3"/>
      <x:c r="D433" s="3"/>
      <x:c r="E433" s="3"/>
      <x:c r="F433" s="3"/>
      <x:c r="G433" s="3"/>
      <x:c r="H433" s="3"/>
      <x:c r="I433" s="3"/>
      <x:c r="J433" s="3"/>
      <x:c r="K433" s="3"/>
      <x:c r="L433" s="6"/>
      <x:c r="M433" s="6"/>
      <x:c r="N433" s="6"/>
      <x:c r="O433" s="6"/>
      <x:c r="P433" s="6"/>
      <x:c r="Q433" s="7"/>
      <x:c r="R433" s="7"/>
      <x:c r="S433" s="7"/>
      <x:c r="T433" s="7"/>
      <x:c r="U433" s="7"/>
      <x:c r="V433" s="7"/>
      <x:c r="W433" s="7"/>
      <x:c r="X433" s="7"/>
      <x:c r="Y433" s="7"/>
      <x:c r="Z433" s="7"/>
      <x:c r="AA433" s="7"/>
      <x:c r="AB433" s="7"/>
      <x:c r="AC433" s="7"/>
      <x:c r="AD433" s="7"/>
      <x:c r="AE433" s="3"/>
      <x:c r="AF433" s="3"/>
      <x:c r="AG433" s="3"/>
      <x:c r="AH433" s="3"/>
      <x:c r="AI433" s="3"/>
      <x:c r="AJ433" s="9" t="str">
        <x:f>IF(A433="","",A433&amp;"|"&amp;B433)</x:f>
      </x:c>
      <x:c r="AK433" s="9" t="str">
        <x:f>IF(A433="",IF(B433="","","MISSING_TEST_ID"),IF(B433="","MISSING_RUN_ID",IF(COUNTIFS($A$2:$A$501,A433,$B$2:$B$501,B433)&lt;&gt;1,"DUPLICATE_ID","OK")))</x:f>
      </x:c>
      <x:c r="AL433" s="9" t="str">
        <x:f>IF(A433="","",IF(AND(AK433="OK",J433="READY",F433&lt;&gt;"",G433&lt;&gt;"",K433&lt;&gt;"",OR(L433="PASS",L433="FAIL"),M433&lt;&gt;"",P433="social-publication-v2"),"YES","NO"))</x:f>
      </x:c>
      <x:c r="AM433" s="9" t="str">
        <x:f>IF(A433="","",IF(AND(AK433="OK",J433="READY",F433&lt;&gt;"",G433&lt;&gt;"",K433&lt;&gt;"",S433="OK",OR(R433="PASS",R433="FAIL")),"YES","NO"))</x:f>
      </x:c>
      <x:c r="AN433" s="9" t="str">
        <x:f>IF(A433="","",F433&amp;" | "&amp;G433&amp;" | "&amp;H433&amp;" | "&amp;I433)</x:f>
      </x:c>
    </x:row>
    <x:row r="434" ht="33" customHeight="1">
      <x:c r="A434" s="3"/>
      <x:c r="B434" s="3"/>
      <x:c r="C434" s="3"/>
      <x:c r="D434" s="3"/>
      <x:c r="E434" s="3"/>
      <x:c r="F434" s="3"/>
      <x:c r="G434" s="3"/>
      <x:c r="H434" s="3"/>
      <x:c r="I434" s="3"/>
      <x:c r="J434" s="3"/>
      <x:c r="K434" s="3"/>
      <x:c r="L434" s="6"/>
      <x:c r="M434" s="6"/>
      <x:c r="N434" s="6"/>
      <x:c r="O434" s="6"/>
      <x:c r="P434" s="6"/>
      <x:c r="Q434" s="7"/>
      <x:c r="R434" s="7"/>
      <x:c r="S434" s="7"/>
      <x:c r="T434" s="7"/>
      <x:c r="U434" s="7"/>
      <x:c r="V434" s="7"/>
      <x:c r="W434" s="7"/>
      <x:c r="X434" s="7"/>
      <x:c r="Y434" s="7"/>
      <x:c r="Z434" s="7"/>
      <x:c r="AA434" s="7"/>
      <x:c r="AB434" s="7"/>
      <x:c r="AC434" s="7"/>
      <x:c r="AD434" s="7"/>
      <x:c r="AE434" s="3"/>
      <x:c r="AF434" s="3"/>
      <x:c r="AG434" s="3"/>
      <x:c r="AH434" s="3"/>
      <x:c r="AI434" s="3"/>
      <x:c r="AJ434" s="9" t="str">
        <x:f>IF(A434="","",A434&amp;"|"&amp;B434)</x:f>
      </x:c>
      <x:c r="AK434" s="9" t="str">
        <x:f>IF(A434="",IF(B434="","","MISSING_TEST_ID"),IF(B434="","MISSING_RUN_ID",IF(COUNTIFS($A$2:$A$501,A434,$B$2:$B$501,B434)&lt;&gt;1,"DUPLICATE_ID","OK")))</x:f>
      </x:c>
      <x:c r="AL434" s="9" t="str">
        <x:f>IF(A434="","",IF(AND(AK434="OK",J434="READY",F434&lt;&gt;"",G434&lt;&gt;"",K434&lt;&gt;"",OR(L434="PASS",L434="FAIL"),M434&lt;&gt;"",P434="social-publication-v2"),"YES","NO"))</x:f>
      </x:c>
      <x:c r="AM434" s="9" t="str">
        <x:f>IF(A434="","",IF(AND(AK434="OK",J434="READY",F434&lt;&gt;"",G434&lt;&gt;"",K434&lt;&gt;"",S434="OK",OR(R434="PASS",R434="FAIL")),"YES","NO"))</x:f>
      </x:c>
      <x:c r="AN434" s="9" t="str">
        <x:f>IF(A434="","",F434&amp;" | "&amp;G434&amp;" | "&amp;H434&amp;" | "&amp;I434)</x:f>
      </x:c>
    </x:row>
    <x:row r="435" ht="33" customHeight="1">
      <x:c r="A435" s="3"/>
      <x:c r="B435" s="3"/>
      <x:c r="C435" s="3"/>
      <x:c r="D435" s="3"/>
      <x:c r="E435" s="3"/>
      <x:c r="F435" s="3"/>
      <x:c r="G435" s="3"/>
      <x:c r="H435" s="3"/>
      <x:c r="I435" s="3"/>
      <x:c r="J435" s="3"/>
      <x:c r="K435" s="3"/>
      <x:c r="L435" s="6"/>
      <x:c r="M435" s="6"/>
      <x:c r="N435" s="6"/>
      <x:c r="O435" s="6"/>
      <x:c r="P435" s="6"/>
      <x:c r="Q435" s="7"/>
      <x:c r="R435" s="7"/>
      <x:c r="S435" s="7"/>
      <x:c r="T435" s="7"/>
      <x:c r="U435" s="7"/>
      <x:c r="V435" s="7"/>
      <x:c r="W435" s="7"/>
      <x:c r="X435" s="7"/>
      <x:c r="Y435" s="7"/>
      <x:c r="Z435" s="7"/>
      <x:c r="AA435" s="7"/>
      <x:c r="AB435" s="7"/>
      <x:c r="AC435" s="7"/>
      <x:c r="AD435" s="7"/>
      <x:c r="AE435" s="3"/>
      <x:c r="AF435" s="3"/>
      <x:c r="AG435" s="3"/>
      <x:c r="AH435" s="3"/>
      <x:c r="AI435" s="3"/>
      <x:c r="AJ435" s="9" t="str">
        <x:f>IF(A435="","",A435&amp;"|"&amp;B435)</x:f>
      </x:c>
      <x:c r="AK435" s="9" t="str">
        <x:f>IF(A435="",IF(B435="","","MISSING_TEST_ID"),IF(B435="","MISSING_RUN_ID",IF(COUNTIFS($A$2:$A$501,A435,$B$2:$B$501,B435)&lt;&gt;1,"DUPLICATE_ID","OK")))</x:f>
      </x:c>
      <x:c r="AL435" s="9" t="str">
        <x:f>IF(A435="","",IF(AND(AK435="OK",J435="READY",F435&lt;&gt;"",G435&lt;&gt;"",K435&lt;&gt;"",OR(L435="PASS",L435="FAIL"),M435&lt;&gt;"",P435="social-publication-v2"),"YES","NO"))</x:f>
      </x:c>
      <x:c r="AM435" s="9" t="str">
        <x:f>IF(A435="","",IF(AND(AK435="OK",J435="READY",F435&lt;&gt;"",G435&lt;&gt;"",K435&lt;&gt;"",S435="OK",OR(R435="PASS",R435="FAIL")),"YES","NO"))</x:f>
      </x:c>
      <x:c r="AN435" s="9" t="str">
        <x:f>IF(A435="","",F435&amp;" | "&amp;G435&amp;" | "&amp;H435&amp;" | "&amp;I435)</x:f>
      </x:c>
    </x:row>
    <x:row r="436" ht="33" customHeight="1">
      <x:c r="A436" s="3"/>
      <x:c r="B436" s="3"/>
      <x:c r="C436" s="3"/>
      <x:c r="D436" s="3"/>
      <x:c r="E436" s="3"/>
      <x:c r="F436" s="3"/>
      <x:c r="G436" s="3"/>
      <x:c r="H436" s="3"/>
      <x:c r="I436" s="3"/>
      <x:c r="J436" s="3"/>
      <x:c r="K436" s="3"/>
      <x:c r="L436" s="6"/>
      <x:c r="M436" s="6"/>
      <x:c r="N436" s="6"/>
      <x:c r="O436" s="6"/>
      <x:c r="P436" s="6"/>
      <x:c r="Q436" s="7"/>
      <x:c r="R436" s="7"/>
      <x:c r="S436" s="7"/>
      <x:c r="T436" s="7"/>
      <x:c r="U436" s="7"/>
      <x:c r="V436" s="7"/>
      <x:c r="W436" s="7"/>
      <x:c r="X436" s="7"/>
      <x:c r="Y436" s="7"/>
      <x:c r="Z436" s="7"/>
      <x:c r="AA436" s="7"/>
      <x:c r="AB436" s="7"/>
      <x:c r="AC436" s="7"/>
      <x:c r="AD436" s="7"/>
      <x:c r="AE436" s="3"/>
      <x:c r="AF436" s="3"/>
      <x:c r="AG436" s="3"/>
      <x:c r="AH436" s="3"/>
      <x:c r="AI436" s="3"/>
      <x:c r="AJ436" s="9" t="str">
        <x:f>IF(A436="","",A436&amp;"|"&amp;B436)</x:f>
      </x:c>
      <x:c r="AK436" s="9" t="str">
        <x:f>IF(A436="",IF(B436="","","MISSING_TEST_ID"),IF(B436="","MISSING_RUN_ID",IF(COUNTIFS($A$2:$A$501,A436,$B$2:$B$501,B436)&lt;&gt;1,"DUPLICATE_ID","OK")))</x:f>
      </x:c>
      <x:c r="AL436" s="9" t="str">
        <x:f>IF(A436="","",IF(AND(AK436="OK",J436="READY",F436&lt;&gt;"",G436&lt;&gt;"",K436&lt;&gt;"",OR(L436="PASS",L436="FAIL"),M436&lt;&gt;"",P436="social-publication-v2"),"YES","NO"))</x:f>
      </x:c>
      <x:c r="AM436" s="9" t="str">
        <x:f>IF(A436="","",IF(AND(AK436="OK",J436="READY",F436&lt;&gt;"",G436&lt;&gt;"",K436&lt;&gt;"",S436="OK",OR(R436="PASS",R436="FAIL")),"YES","NO"))</x:f>
      </x:c>
      <x:c r="AN436" s="9" t="str">
        <x:f>IF(A436="","",F436&amp;" | "&amp;G436&amp;" | "&amp;H436&amp;" | "&amp;I436)</x:f>
      </x:c>
    </x:row>
    <x:row r="437" ht="33" customHeight="1">
      <x:c r="A437" s="3"/>
      <x:c r="B437" s="3"/>
      <x:c r="C437" s="3"/>
      <x:c r="D437" s="3"/>
      <x:c r="E437" s="3"/>
      <x:c r="F437" s="3"/>
      <x:c r="G437" s="3"/>
      <x:c r="H437" s="3"/>
      <x:c r="I437" s="3"/>
      <x:c r="J437" s="3"/>
      <x:c r="K437" s="3"/>
      <x:c r="L437" s="6"/>
      <x:c r="M437" s="6"/>
      <x:c r="N437" s="6"/>
      <x:c r="O437" s="6"/>
      <x:c r="P437" s="6"/>
      <x:c r="Q437" s="7"/>
      <x:c r="R437" s="7"/>
      <x:c r="S437" s="7"/>
      <x:c r="T437" s="7"/>
      <x:c r="U437" s="7"/>
      <x:c r="V437" s="7"/>
      <x:c r="W437" s="7"/>
      <x:c r="X437" s="7"/>
      <x:c r="Y437" s="7"/>
      <x:c r="Z437" s="7"/>
      <x:c r="AA437" s="7"/>
      <x:c r="AB437" s="7"/>
      <x:c r="AC437" s="7"/>
      <x:c r="AD437" s="7"/>
      <x:c r="AE437" s="3"/>
      <x:c r="AF437" s="3"/>
      <x:c r="AG437" s="3"/>
      <x:c r="AH437" s="3"/>
      <x:c r="AI437" s="3"/>
      <x:c r="AJ437" s="9" t="str">
        <x:f>IF(A437="","",A437&amp;"|"&amp;B437)</x:f>
      </x:c>
      <x:c r="AK437" s="9" t="str">
        <x:f>IF(A437="",IF(B437="","","MISSING_TEST_ID"),IF(B437="","MISSING_RUN_ID",IF(COUNTIFS($A$2:$A$501,A437,$B$2:$B$501,B437)&lt;&gt;1,"DUPLICATE_ID","OK")))</x:f>
      </x:c>
      <x:c r="AL437" s="9" t="str">
        <x:f>IF(A437="","",IF(AND(AK437="OK",J437="READY",F437&lt;&gt;"",G437&lt;&gt;"",K437&lt;&gt;"",OR(L437="PASS",L437="FAIL"),M437&lt;&gt;"",P437="social-publication-v2"),"YES","NO"))</x:f>
      </x:c>
      <x:c r="AM437" s="9" t="str">
        <x:f>IF(A437="","",IF(AND(AK437="OK",J437="READY",F437&lt;&gt;"",G437&lt;&gt;"",K437&lt;&gt;"",S437="OK",OR(R437="PASS",R437="FAIL")),"YES","NO"))</x:f>
      </x:c>
      <x:c r="AN437" s="9" t="str">
        <x:f>IF(A437="","",F437&amp;" | "&amp;G437&amp;" | "&amp;H437&amp;" | "&amp;I437)</x:f>
      </x:c>
    </x:row>
    <x:row r="438" ht="33" customHeight="1">
      <x:c r="A438" s="3"/>
      <x:c r="B438" s="3"/>
      <x:c r="C438" s="3"/>
      <x:c r="D438" s="3"/>
      <x:c r="E438" s="3"/>
      <x:c r="F438" s="3"/>
      <x:c r="G438" s="3"/>
      <x:c r="H438" s="3"/>
      <x:c r="I438" s="3"/>
      <x:c r="J438" s="3"/>
      <x:c r="K438" s="3"/>
      <x:c r="L438" s="6"/>
      <x:c r="M438" s="6"/>
      <x:c r="N438" s="6"/>
      <x:c r="O438" s="6"/>
      <x:c r="P438" s="6"/>
      <x:c r="Q438" s="7"/>
      <x:c r="R438" s="7"/>
      <x:c r="S438" s="7"/>
      <x:c r="T438" s="7"/>
      <x:c r="U438" s="7"/>
      <x:c r="V438" s="7"/>
      <x:c r="W438" s="7"/>
      <x:c r="X438" s="7"/>
      <x:c r="Y438" s="7"/>
      <x:c r="Z438" s="7"/>
      <x:c r="AA438" s="7"/>
      <x:c r="AB438" s="7"/>
      <x:c r="AC438" s="7"/>
      <x:c r="AD438" s="7"/>
      <x:c r="AE438" s="3"/>
      <x:c r="AF438" s="3"/>
      <x:c r="AG438" s="3"/>
      <x:c r="AH438" s="3"/>
      <x:c r="AI438" s="3"/>
      <x:c r="AJ438" s="9" t="str">
        <x:f>IF(A438="","",A438&amp;"|"&amp;B438)</x:f>
      </x:c>
      <x:c r="AK438" s="9" t="str">
        <x:f>IF(A438="",IF(B438="","","MISSING_TEST_ID"),IF(B438="","MISSING_RUN_ID",IF(COUNTIFS($A$2:$A$501,A438,$B$2:$B$501,B438)&lt;&gt;1,"DUPLICATE_ID","OK")))</x:f>
      </x:c>
      <x:c r="AL438" s="9" t="str">
        <x:f>IF(A438="","",IF(AND(AK438="OK",J438="READY",F438&lt;&gt;"",G438&lt;&gt;"",K438&lt;&gt;"",OR(L438="PASS",L438="FAIL"),M438&lt;&gt;"",P438="social-publication-v2"),"YES","NO"))</x:f>
      </x:c>
      <x:c r="AM438" s="9" t="str">
        <x:f>IF(A438="","",IF(AND(AK438="OK",J438="READY",F438&lt;&gt;"",G438&lt;&gt;"",K438&lt;&gt;"",S438="OK",OR(R438="PASS",R438="FAIL")),"YES","NO"))</x:f>
      </x:c>
      <x:c r="AN438" s="9" t="str">
        <x:f>IF(A438="","",F438&amp;" | "&amp;G438&amp;" | "&amp;H438&amp;" | "&amp;I438)</x:f>
      </x:c>
    </x:row>
    <x:row r="439" ht="33" customHeight="1">
      <x:c r="A439" s="3"/>
      <x:c r="B439" s="3"/>
      <x:c r="C439" s="3"/>
      <x:c r="D439" s="3"/>
      <x:c r="E439" s="3"/>
      <x:c r="F439" s="3"/>
      <x:c r="G439" s="3"/>
      <x:c r="H439" s="3"/>
      <x:c r="I439" s="3"/>
      <x:c r="J439" s="3"/>
      <x:c r="K439" s="3"/>
      <x:c r="L439" s="6"/>
      <x:c r="M439" s="6"/>
      <x:c r="N439" s="6"/>
      <x:c r="O439" s="6"/>
      <x:c r="P439" s="6"/>
      <x:c r="Q439" s="7"/>
      <x:c r="R439" s="7"/>
      <x:c r="S439" s="7"/>
      <x:c r="T439" s="7"/>
      <x:c r="U439" s="7"/>
      <x:c r="V439" s="7"/>
      <x:c r="W439" s="7"/>
      <x:c r="X439" s="7"/>
      <x:c r="Y439" s="7"/>
      <x:c r="Z439" s="7"/>
      <x:c r="AA439" s="7"/>
      <x:c r="AB439" s="7"/>
      <x:c r="AC439" s="7"/>
      <x:c r="AD439" s="7"/>
      <x:c r="AE439" s="3"/>
      <x:c r="AF439" s="3"/>
      <x:c r="AG439" s="3"/>
      <x:c r="AH439" s="3"/>
      <x:c r="AI439" s="3"/>
      <x:c r="AJ439" s="9" t="str">
        <x:f>IF(A439="","",A439&amp;"|"&amp;B439)</x:f>
      </x:c>
      <x:c r="AK439" s="9" t="str">
        <x:f>IF(A439="",IF(B439="","","MISSING_TEST_ID"),IF(B439="","MISSING_RUN_ID",IF(COUNTIFS($A$2:$A$501,A439,$B$2:$B$501,B439)&lt;&gt;1,"DUPLICATE_ID","OK")))</x:f>
      </x:c>
      <x:c r="AL439" s="9" t="str">
        <x:f>IF(A439="","",IF(AND(AK439="OK",J439="READY",F439&lt;&gt;"",G439&lt;&gt;"",K439&lt;&gt;"",OR(L439="PASS",L439="FAIL"),M439&lt;&gt;"",P439="social-publication-v2"),"YES","NO"))</x:f>
      </x:c>
      <x:c r="AM439" s="9" t="str">
        <x:f>IF(A439="","",IF(AND(AK439="OK",J439="READY",F439&lt;&gt;"",G439&lt;&gt;"",K439&lt;&gt;"",S439="OK",OR(R439="PASS",R439="FAIL")),"YES","NO"))</x:f>
      </x:c>
      <x:c r="AN439" s="9" t="str">
        <x:f>IF(A439="","",F439&amp;" | "&amp;G439&amp;" | "&amp;H439&amp;" | "&amp;I439)</x:f>
      </x:c>
    </x:row>
    <x:row r="440" ht="33" customHeight="1">
      <x:c r="A440" s="3"/>
      <x:c r="B440" s="3"/>
      <x:c r="C440" s="3"/>
      <x:c r="D440" s="3"/>
      <x:c r="E440" s="3"/>
      <x:c r="F440" s="3"/>
      <x:c r="G440" s="3"/>
      <x:c r="H440" s="3"/>
      <x:c r="I440" s="3"/>
      <x:c r="J440" s="3"/>
      <x:c r="K440" s="3"/>
      <x:c r="L440" s="6"/>
      <x:c r="M440" s="6"/>
      <x:c r="N440" s="6"/>
      <x:c r="O440" s="6"/>
      <x:c r="P440" s="6"/>
      <x:c r="Q440" s="7"/>
      <x:c r="R440" s="7"/>
      <x:c r="S440" s="7"/>
      <x:c r="T440" s="7"/>
      <x:c r="U440" s="7"/>
      <x:c r="V440" s="7"/>
      <x:c r="W440" s="7"/>
      <x:c r="X440" s="7"/>
      <x:c r="Y440" s="7"/>
      <x:c r="Z440" s="7"/>
      <x:c r="AA440" s="7"/>
      <x:c r="AB440" s="7"/>
      <x:c r="AC440" s="7"/>
      <x:c r="AD440" s="7"/>
      <x:c r="AE440" s="3"/>
      <x:c r="AF440" s="3"/>
      <x:c r="AG440" s="3"/>
      <x:c r="AH440" s="3"/>
      <x:c r="AI440" s="3"/>
      <x:c r="AJ440" s="9" t="str">
        <x:f>IF(A440="","",A440&amp;"|"&amp;B440)</x:f>
      </x:c>
      <x:c r="AK440" s="9" t="str">
        <x:f>IF(A440="",IF(B440="","","MISSING_TEST_ID"),IF(B440="","MISSING_RUN_ID",IF(COUNTIFS($A$2:$A$501,A440,$B$2:$B$501,B440)&lt;&gt;1,"DUPLICATE_ID","OK")))</x:f>
      </x:c>
      <x:c r="AL440" s="9" t="str">
        <x:f>IF(A440="","",IF(AND(AK440="OK",J440="READY",F440&lt;&gt;"",G440&lt;&gt;"",K440&lt;&gt;"",OR(L440="PASS",L440="FAIL"),M440&lt;&gt;"",P440="social-publication-v2"),"YES","NO"))</x:f>
      </x:c>
      <x:c r="AM440" s="9" t="str">
        <x:f>IF(A440="","",IF(AND(AK440="OK",J440="READY",F440&lt;&gt;"",G440&lt;&gt;"",K440&lt;&gt;"",S440="OK",OR(R440="PASS",R440="FAIL")),"YES","NO"))</x:f>
      </x:c>
      <x:c r="AN440" s="9" t="str">
        <x:f>IF(A440="","",F440&amp;" | "&amp;G440&amp;" | "&amp;H440&amp;" | "&amp;I440)</x:f>
      </x:c>
    </x:row>
    <x:row r="441" ht="33" customHeight="1">
      <x:c r="A441" s="3"/>
      <x:c r="B441" s="3"/>
      <x:c r="C441" s="3"/>
      <x:c r="D441" s="3"/>
      <x:c r="E441" s="3"/>
      <x:c r="F441" s="3"/>
      <x:c r="G441" s="3"/>
      <x:c r="H441" s="3"/>
      <x:c r="I441" s="3"/>
      <x:c r="J441" s="3"/>
      <x:c r="K441" s="3"/>
      <x:c r="L441" s="6"/>
      <x:c r="M441" s="6"/>
      <x:c r="N441" s="6"/>
      <x:c r="O441" s="6"/>
      <x:c r="P441" s="6"/>
      <x:c r="Q441" s="7"/>
      <x:c r="R441" s="7"/>
      <x:c r="S441" s="7"/>
      <x:c r="T441" s="7"/>
      <x:c r="U441" s="7"/>
      <x:c r="V441" s="7"/>
      <x:c r="W441" s="7"/>
      <x:c r="X441" s="7"/>
      <x:c r="Y441" s="7"/>
      <x:c r="Z441" s="7"/>
      <x:c r="AA441" s="7"/>
      <x:c r="AB441" s="7"/>
      <x:c r="AC441" s="7"/>
      <x:c r="AD441" s="7"/>
      <x:c r="AE441" s="3"/>
      <x:c r="AF441" s="3"/>
      <x:c r="AG441" s="3"/>
      <x:c r="AH441" s="3"/>
      <x:c r="AI441" s="3"/>
      <x:c r="AJ441" s="9" t="str">
        <x:f>IF(A441="","",A441&amp;"|"&amp;B441)</x:f>
      </x:c>
      <x:c r="AK441" s="9" t="str">
        <x:f>IF(A441="",IF(B441="","","MISSING_TEST_ID"),IF(B441="","MISSING_RUN_ID",IF(COUNTIFS($A$2:$A$501,A441,$B$2:$B$501,B441)&lt;&gt;1,"DUPLICATE_ID","OK")))</x:f>
      </x:c>
      <x:c r="AL441" s="9" t="str">
        <x:f>IF(A441="","",IF(AND(AK441="OK",J441="READY",F441&lt;&gt;"",G441&lt;&gt;"",K441&lt;&gt;"",OR(L441="PASS",L441="FAIL"),M441&lt;&gt;"",P441="social-publication-v2"),"YES","NO"))</x:f>
      </x:c>
      <x:c r="AM441" s="9" t="str">
        <x:f>IF(A441="","",IF(AND(AK441="OK",J441="READY",F441&lt;&gt;"",G441&lt;&gt;"",K441&lt;&gt;"",S441="OK",OR(R441="PASS",R441="FAIL")),"YES","NO"))</x:f>
      </x:c>
      <x:c r="AN441" s="9" t="str">
        <x:f>IF(A441="","",F441&amp;" | "&amp;G441&amp;" | "&amp;H441&amp;" | "&amp;I441)</x:f>
      </x:c>
    </x:row>
    <x:row r="442" ht="33" customHeight="1">
      <x:c r="A442" s="3"/>
      <x:c r="B442" s="3"/>
      <x:c r="C442" s="3"/>
      <x:c r="D442" s="3"/>
      <x:c r="E442" s="3"/>
      <x:c r="F442" s="3"/>
      <x:c r="G442" s="3"/>
      <x:c r="H442" s="3"/>
      <x:c r="I442" s="3"/>
      <x:c r="J442" s="3"/>
      <x:c r="K442" s="3"/>
      <x:c r="L442" s="6"/>
      <x:c r="M442" s="6"/>
      <x:c r="N442" s="6"/>
      <x:c r="O442" s="6"/>
      <x:c r="P442" s="6"/>
      <x:c r="Q442" s="7"/>
      <x:c r="R442" s="7"/>
      <x:c r="S442" s="7"/>
      <x:c r="T442" s="7"/>
      <x:c r="U442" s="7"/>
      <x:c r="V442" s="7"/>
      <x:c r="W442" s="7"/>
      <x:c r="X442" s="7"/>
      <x:c r="Y442" s="7"/>
      <x:c r="Z442" s="7"/>
      <x:c r="AA442" s="7"/>
      <x:c r="AB442" s="7"/>
      <x:c r="AC442" s="7"/>
      <x:c r="AD442" s="7"/>
      <x:c r="AE442" s="3"/>
      <x:c r="AF442" s="3"/>
      <x:c r="AG442" s="3"/>
      <x:c r="AH442" s="3"/>
      <x:c r="AI442" s="3"/>
      <x:c r="AJ442" s="9" t="str">
        <x:f>IF(A442="","",A442&amp;"|"&amp;B442)</x:f>
      </x:c>
      <x:c r="AK442" s="9" t="str">
        <x:f>IF(A442="",IF(B442="","","MISSING_TEST_ID"),IF(B442="","MISSING_RUN_ID",IF(COUNTIFS($A$2:$A$501,A442,$B$2:$B$501,B442)&lt;&gt;1,"DUPLICATE_ID","OK")))</x:f>
      </x:c>
      <x:c r="AL442" s="9" t="str">
        <x:f>IF(A442="","",IF(AND(AK442="OK",J442="READY",F442&lt;&gt;"",G442&lt;&gt;"",K442&lt;&gt;"",OR(L442="PASS",L442="FAIL"),M442&lt;&gt;"",P442="social-publication-v2"),"YES","NO"))</x:f>
      </x:c>
      <x:c r="AM442" s="9" t="str">
        <x:f>IF(A442="","",IF(AND(AK442="OK",J442="READY",F442&lt;&gt;"",G442&lt;&gt;"",K442&lt;&gt;"",S442="OK",OR(R442="PASS",R442="FAIL")),"YES","NO"))</x:f>
      </x:c>
      <x:c r="AN442" s="9" t="str">
        <x:f>IF(A442="","",F442&amp;" | "&amp;G442&amp;" | "&amp;H442&amp;" | "&amp;I442)</x:f>
      </x:c>
    </x:row>
    <x:row r="443" ht="33" customHeight="1">
      <x:c r="A443" s="3"/>
      <x:c r="B443" s="3"/>
      <x:c r="C443" s="3"/>
      <x:c r="D443" s="3"/>
      <x:c r="E443" s="3"/>
      <x:c r="F443" s="3"/>
      <x:c r="G443" s="3"/>
      <x:c r="H443" s="3"/>
      <x:c r="I443" s="3"/>
      <x:c r="J443" s="3"/>
      <x:c r="K443" s="3"/>
      <x:c r="L443" s="6"/>
      <x:c r="M443" s="6"/>
      <x:c r="N443" s="6"/>
      <x:c r="O443" s="6"/>
      <x:c r="P443" s="6"/>
      <x:c r="Q443" s="7"/>
      <x:c r="R443" s="7"/>
      <x:c r="S443" s="7"/>
      <x:c r="T443" s="7"/>
      <x:c r="U443" s="7"/>
      <x:c r="V443" s="7"/>
      <x:c r="W443" s="7"/>
      <x:c r="X443" s="7"/>
      <x:c r="Y443" s="7"/>
      <x:c r="Z443" s="7"/>
      <x:c r="AA443" s="7"/>
      <x:c r="AB443" s="7"/>
      <x:c r="AC443" s="7"/>
      <x:c r="AD443" s="7"/>
      <x:c r="AE443" s="3"/>
      <x:c r="AF443" s="3"/>
      <x:c r="AG443" s="3"/>
      <x:c r="AH443" s="3"/>
      <x:c r="AI443" s="3"/>
      <x:c r="AJ443" s="9" t="str">
        <x:f>IF(A443="","",A443&amp;"|"&amp;B443)</x:f>
      </x:c>
      <x:c r="AK443" s="9" t="str">
        <x:f>IF(A443="",IF(B443="","","MISSING_TEST_ID"),IF(B443="","MISSING_RUN_ID",IF(COUNTIFS($A$2:$A$501,A443,$B$2:$B$501,B443)&lt;&gt;1,"DUPLICATE_ID","OK")))</x:f>
      </x:c>
      <x:c r="AL443" s="9" t="str">
        <x:f>IF(A443="","",IF(AND(AK443="OK",J443="READY",F443&lt;&gt;"",G443&lt;&gt;"",K443&lt;&gt;"",OR(L443="PASS",L443="FAIL"),M443&lt;&gt;"",P443="social-publication-v2"),"YES","NO"))</x:f>
      </x:c>
      <x:c r="AM443" s="9" t="str">
        <x:f>IF(A443="","",IF(AND(AK443="OK",J443="READY",F443&lt;&gt;"",G443&lt;&gt;"",K443&lt;&gt;"",S443="OK",OR(R443="PASS",R443="FAIL")),"YES","NO"))</x:f>
      </x:c>
      <x:c r="AN443" s="9" t="str">
        <x:f>IF(A443="","",F443&amp;" | "&amp;G443&amp;" | "&amp;H443&amp;" | "&amp;I443)</x:f>
      </x:c>
    </x:row>
    <x:row r="444" ht="33" customHeight="1">
      <x:c r="A444" s="3"/>
      <x:c r="B444" s="3"/>
      <x:c r="C444" s="3"/>
      <x:c r="D444" s="3"/>
      <x:c r="E444" s="3"/>
      <x:c r="F444" s="3"/>
      <x:c r="G444" s="3"/>
      <x:c r="H444" s="3"/>
      <x:c r="I444" s="3"/>
      <x:c r="J444" s="3"/>
      <x:c r="K444" s="3"/>
      <x:c r="L444" s="6"/>
      <x:c r="M444" s="6"/>
      <x:c r="N444" s="6"/>
      <x:c r="O444" s="6"/>
      <x:c r="P444" s="6"/>
      <x:c r="Q444" s="7"/>
      <x:c r="R444" s="7"/>
      <x:c r="S444" s="7"/>
      <x:c r="T444" s="7"/>
      <x:c r="U444" s="7"/>
      <x:c r="V444" s="7"/>
      <x:c r="W444" s="7"/>
      <x:c r="X444" s="7"/>
      <x:c r="Y444" s="7"/>
      <x:c r="Z444" s="7"/>
      <x:c r="AA444" s="7"/>
      <x:c r="AB444" s="7"/>
      <x:c r="AC444" s="7"/>
      <x:c r="AD444" s="7"/>
      <x:c r="AE444" s="3"/>
      <x:c r="AF444" s="3"/>
      <x:c r="AG444" s="3"/>
      <x:c r="AH444" s="3"/>
      <x:c r="AI444" s="3"/>
      <x:c r="AJ444" s="9" t="str">
        <x:f>IF(A444="","",A444&amp;"|"&amp;B444)</x:f>
      </x:c>
      <x:c r="AK444" s="9" t="str">
        <x:f>IF(A444="",IF(B444="","","MISSING_TEST_ID"),IF(B444="","MISSING_RUN_ID",IF(COUNTIFS($A$2:$A$501,A444,$B$2:$B$501,B444)&lt;&gt;1,"DUPLICATE_ID","OK")))</x:f>
      </x:c>
      <x:c r="AL444" s="9" t="str">
        <x:f>IF(A444="","",IF(AND(AK444="OK",J444="READY",F444&lt;&gt;"",G444&lt;&gt;"",K444&lt;&gt;"",OR(L444="PASS",L444="FAIL"),M444&lt;&gt;"",P444="social-publication-v2"),"YES","NO"))</x:f>
      </x:c>
      <x:c r="AM444" s="9" t="str">
        <x:f>IF(A444="","",IF(AND(AK444="OK",J444="READY",F444&lt;&gt;"",G444&lt;&gt;"",K444&lt;&gt;"",S444="OK",OR(R444="PASS",R444="FAIL")),"YES","NO"))</x:f>
      </x:c>
      <x:c r="AN444" s="9" t="str">
        <x:f>IF(A444="","",F444&amp;" | "&amp;G444&amp;" | "&amp;H444&amp;" | "&amp;I444)</x:f>
      </x:c>
    </x:row>
    <x:row r="445" ht="33" customHeight="1">
      <x:c r="A445" s="3"/>
      <x:c r="B445" s="3"/>
      <x:c r="C445" s="3"/>
      <x:c r="D445" s="3"/>
      <x:c r="E445" s="3"/>
      <x:c r="F445" s="3"/>
      <x:c r="G445" s="3"/>
      <x:c r="H445" s="3"/>
      <x:c r="I445" s="3"/>
      <x:c r="J445" s="3"/>
      <x:c r="K445" s="3"/>
      <x:c r="L445" s="6"/>
      <x:c r="M445" s="6"/>
      <x:c r="N445" s="6"/>
      <x:c r="O445" s="6"/>
      <x:c r="P445" s="6"/>
      <x:c r="Q445" s="7"/>
      <x:c r="R445" s="7"/>
      <x:c r="S445" s="7"/>
      <x:c r="T445" s="7"/>
      <x:c r="U445" s="7"/>
      <x:c r="V445" s="7"/>
      <x:c r="W445" s="7"/>
      <x:c r="X445" s="7"/>
      <x:c r="Y445" s="7"/>
      <x:c r="Z445" s="7"/>
      <x:c r="AA445" s="7"/>
      <x:c r="AB445" s="7"/>
      <x:c r="AC445" s="7"/>
      <x:c r="AD445" s="7"/>
      <x:c r="AE445" s="3"/>
      <x:c r="AF445" s="3"/>
      <x:c r="AG445" s="3"/>
      <x:c r="AH445" s="3"/>
      <x:c r="AI445" s="3"/>
      <x:c r="AJ445" s="9" t="str">
        <x:f>IF(A445="","",A445&amp;"|"&amp;B445)</x:f>
      </x:c>
      <x:c r="AK445" s="9" t="str">
        <x:f>IF(A445="",IF(B445="","","MISSING_TEST_ID"),IF(B445="","MISSING_RUN_ID",IF(COUNTIFS($A$2:$A$501,A445,$B$2:$B$501,B445)&lt;&gt;1,"DUPLICATE_ID","OK")))</x:f>
      </x:c>
      <x:c r="AL445" s="9" t="str">
        <x:f>IF(A445="","",IF(AND(AK445="OK",J445="READY",F445&lt;&gt;"",G445&lt;&gt;"",K445&lt;&gt;"",OR(L445="PASS",L445="FAIL"),M445&lt;&gt;"",P445="social-publication-v2"),"YES","NO"))</x:f>
      </x:c>
      <x:c r="AM445" s="9" t="str">
        <x:f>IF(A445="","",IF(AND(AK445="OK",J445="READY",F445&lt;&gt;"",G445&lt;&gt;"",K445&lt;&gt;"",S445="OK",OR(R445="PASS",R445="FAIL")),"YES","NO"))</x:f>
      </x:c>
      <x:c r="AN445" s="9" t="str">
        <x:f>IF(A445="","",F445&amp;" | "&amp;G445&amp;" | "&amp;H445&amp;" | "&amp;I445)</x:f>
      </x:c>
    </x:row>
    <x:row r="446" ht="33" customHeight="1">
      <x:c r="A446" s="3"/>
      <x:c r="B446" s="3"/>
      <x:c r="C446" s="3"/>
      <x:c r="D446" s="3"/>
      <x:c r="E446" s="3"/>
      <x:c r="F446" s="3"/>
      <x:c r="G446" s="3"/>
      <x:c r="H446" s="3"/>
      <x:c r="I446" s="3"/>
      <x:c r="J446" s="3"/>
      <x:c r="K446" s="3"/>
      <x:c r="L446" s="6"/>
      <x:c r="M446" s="6"/>
      <x:c r="N446" s="6"/>
      <x:c r="O446" s="6"/>
      <x:c r="P446" s="6"/>
      <x:c r="Q446" s="7"/>
      <x:c r="R446" s="7"/>
      <x:c r="S446" s="7"/>
      <x:c r="T446" s="7"/>
      <x:c r="U446" s="7"/>
      <x:c r="V446" s="7"/>
      <x:c r="W446" s="7"/>
      <x:c r="X446" s="7"/>
      <x:c r="Y446" s="7"/>
      <x:c r="Z446" s="7"/>
      <x:c r="AA446" s="7"/>
      <x:c r="AB446" s="7"/>
      <x:c r="AC446" s="7"/>
      <x:c r="AD446" s="7"/>
      <x:c r="AE446" s="3"/>
      <x:c r="AF446" s="3"/>
      <x:c r="AG446" s="3"/>
      <x:c r="AH446" s="3"/>
      <x:c r="AI446" s="3"/>
      <x:c r="AJ446" s="9" t="str">
        <x:f>IF(A446="","",A446&amp;"|"&amp;B446)</x:f>
      </x:c>
      <x:c r="AK446" s="9" t="str">
        <x:f>IF(A446="",IF(B446="","","MISSING_TEST_ID"),IF(B446="","MISSING_RUN_ID",IF(COUNTIFS($A$2:$A$501,A446,$B$2:$B$501,B446)&lt;&gt;1,"DUPLICATE_ID","OK")))</x:f>
      </x:c>
      <x:c r="AL446" s="9" t="str">
        <x:f>IF(A446="","",IF(AND(AK446="OK",J446="READY",F446&lt;&gt;"",G446&lt;&gt;"",K446&lt;&gt;"",OR(L446="PASS",L446="FAIL"),M446&lt;&gt;"",P446="social-publication-v2"),"YES","NO"))</x:f>
      </x:c>
      <x:c r="AM446" s="9" t="str">
        <x:f>IF(A446="","",IF(AND(AK446="OK",J446="READY",F446&lt;&gt;"",G446&lt;&gt;"",K446&lt;&gt;"",S446="OK",OR(R446="PASS",R446="FAIL")),"YES","NO"))</x:f>
      </x:c>
      <x:c r="AN446" s="9" t="str">
        <x:f>IF(A446="","",F446&amp;" | "&amp;G446&amp;" | "&amp;H446&amp;" | "&amp;I446)</x:f>
      </x:c>
    </x:row>
    <x:row r="447" ht="33" customHeight="1">
      <x:c r="A447" s="3"/>
      <x:c r="B447" s="3"/>
      <x:c r="C447" s="3"/>
      <x:c r="D447" s="3"/>
      <x:c r="E447" s="3"/>
      <x:c r="F447" s="3"/>
      <x:c r="G447" s="3"/>
      <x:c r="H447" s="3"/>
      <x:c r="I447" s="3"/>
      <x:c r="J447" s="3"/>
      <x:c r="K447" s="3"/>
      <x:c r="L447" s="6"/>
      <x:c r="M447" s="6"/>
      <x:c r="N447" s="6"/>
      <x:c r="O447" s="6"/>
      <x:c r="P447" s="6"/>
      <x:c r="Q447" s="7"/>
      <x:c r="R447" s="7"/>
      <x:c r="S447" s="7"/>
      <x:c r="T447" s="7"/>
      <x:c r="U447" s="7"/>
      <x:c r="V447" s="7"/>
      <x:c r="W447" s="7"/>
      <x:c r="X447" s="7"/>
      <x:c r="Y447" s="7"/>
      <x:c r="Z447" s="7"/>
      <x:c r="AA447" s="7"/>
      <x:c r="AB447" s="7"/>
      <x:c r="AC447" s="7"/>
      <x:c r="AD447" s="7"/>
      <x:c r="AE447" s="3"/>
      <x:c r="AF447" s="3"/>
      <x:c r="AG447" s="3"/>
      <x:c r="AH447" s="3"/>
      <x:c r="AI447" s="3"/>
      <x:c r="AJ447" s="9" t="str">
        <x:f>IF(A447="","",A447&amp;"|"&amp;B447)</x:f>
      </x:c>
      <x:c r="AK447" s="9" t="str">
        <x:f>IF(A447="",IF(B447="","","MISSING_TEST_ID"),IF(B447="","MISSING_RUN_ID",IF(COUNTIFS($A$2:$A$501,A447,$B$2:$B$501,B447)&lt;&gt;1,"DUPLICATE_ID","OK")))</x:f>
      </x:c>
      <x:c r="AL447" s="9" t="str">
        <x:f>IF(A447="","",IF(AND(AK447="OK",J447="READY",F447&lt;&gt;"",G447&lt;&gt;"",K447&lt;&gt;"",OR(L447="PASS",L447="FAIL"),M447&lt;&gt;"",P447="social-publication-v2"),"YES","NO"))</x:f>
      </x:c>
      <x:c r="AM447" s="9" t="str">
        <x:f>IF(A447="","",IF(AND(AK447="OK",J447="READY",F447&lt;&gt;"",G447&lt;&gt;"",K447&lt;&gt;"",S447="OK",OR(R447="PASS",R447="FAIL")),"YES","NO"))</x:f>
      </x:c>
      <x:c r="AN447" s="9" t="str">
        <x:f>IF(A447="","",F447&amp;" | "&amp;G447&amp;" | "&amp;H447&amp;" | "&amp;I447)</x:f>
      </x:c>
    </x:row>
    <x:row r="448" ht="33" customHeight="1">
      <x:c r="A448" s="3"/>
      <x:c r="B448" s="3"/>
      <x:c r="C448" s="3"/>
      <x:c r="D448" s="3"/>
      <x:c r="E448" s="3"/>
      <x:c r="F448" s="3"/>
      <x:c r="G448" s="3"/>
      <x:c r="H448" s="3"/>
      <x:c r="I448" s="3"/>
      <x:c r="J448" s="3"/>
      <x:c r="K448" s="3"/>
      <x:c r="L448" s="6"/>
      <x:c r="M448" s="6"/>
      <x:c r="N448" s="6"/>
      <x:c r="O448" s="6"/>
      <x:c r="P448" s="6"/>
      <x:c r="Q448" s="7"/>
      <x:c r="R448" s="7"/>
      <x:c r="S448" s="7"/>
      <x:c r="T448" s="7"/>
      <x:c r="U448" s="7"/>
      <x:c r="V448" s="7"/>
      <x:c r="W448" s="7"/>
      <x:c r="X448" s="7"/>
      <x:c r="Y448" s="7"/>
      <x:c r="Z448" s="7"/>
      <x:c r="AA448" s="7"/>
      <x:c r="AB448" s="7"/>
      <x:c r="AC448" s="7"/>
      <x:c r="AD448" s="7"/>
      <x:c r="AE448" s="3"/>
      <x:c r="AF448" s="3"/>
      <x:c r="AG448" s="3"/>
      <x:c r="AH448" s="3"/>
      <x:c r="AI448" s="3"/>
      <x:c r="AJ448" s="9" t="str">
        <x:f>IF(A448="","",A448&amp;"|"&amp;B448)</x:f>
      </x:c>
      <x:c r="AK448" s="9" t="str">
        <x:f>IF(A448="",IF(B448="","","MISSING_TEST_ID"),IF(B448="","MISSING_RUN_ID",IF(COUNTIFS($A$2:$A$501,A448,$B$2:$B$501,B448)&lt;&gt;1,"DUPLICATE_ID","OK")))</x:f>
      </x:c>
      <x:c r="AL448" s="9" t="str">
        <x:f>IF(A448="","",IF(AND(AK448="OK",J448="READY",F448&lt;&gt;"",G448&lt;&gt;"",K448&lt;&gt;"",OR(L448="PASS",L448="FAIL"),M448&lt;&gt;"",P448="social-publication-v2"),"YES","NO"))</x:f>
      </x:c>
      <x:c r="AM448" s="9" t="str">
        <x:f>IF(A448="","",IF(AND(AK448="OK",J448="READY",F448&lt;&gt;"",G448&lt;&gt;"",K448&lt;&gt;"",S448="OK",OR(R448="PASS",R448="FAIL")),"YES","NO"))</x:f>
      </x:c>
      <x:c r="AN448" s="9" t="str">
        <x:f>IF(A448="","",F448&amp;" | "&amp;G448&amp;" | "&amp;H448&amp;" | "&amp;I448)</x:f>
      </x:c>
    </x:row>
    <x:row r="449" ht="33" customHeight="1">
      <x:c r="A449" s="3"/>
      <x:c r="B449" s="3"/>
      <x:c r="C449" s="3"/>
      <x:c r="D449" s="3"/>
      <x:c r="E449" s="3"/>
      <x:c r="F449" s="3"/>
      <x:c r="G449" s="3"/>
      <x:c r="H449" s="3"/>
      <x:c r="I449" s="3"/>
      <x:c r="J449" s="3"/>
      <x:c r="K449" s="3"/>
      <x:c r="L449" s="6"/>
      <x:c r="M449" s="6"/>
      <x:c r="N449" s="6"/>
      <x:c r="O449" s="6"/>
      <x:c r="P449" s="6"/>
      <x:c r="Q449" s="7"/>
      <x:c r="R449" s="7"/>
      <x:c r="S449" s="7"/>
      <x:c r="T449" s="7"/>
      <x:c r="U449" s="7"/>
      <x:c r="V449" s="7"/>
      <x:c r="W449" s="7"/>
      <x:c r="X449" s="7"/>
      <x:c r="Y449" s="7"/>
      <x:c r="Z449" s="7"/>
      <x:c r="AA449" s="7"/>
      <x:c r="AB449" s="7"/>
      <x:c r="AC449" s="7"/>
      <x:c r="AD449" s="7"/>
      <x:c r="AE449" s="3"/>
      <x:c r="AF449" s="3"/>
      <x:c r="AG449" s="3"/>
      <x:c r="AH449" s="3"/>
      <x:c r="AI449" s="3"/>
      <x:c r="AJ449" s="9" t="str">
        <x:f>IF(A449="","",A449&amp;"|"&amp;B449)</x:f>
      </x:c>
      <x:c r="AK449" s="9" t="str">
        <x:f>IF(A449="",IF(B449="","","MISSING_TEST_ID"),IF(B449="","MISSING_RUN_ID",IF(COUNTIFS($A$2:$A$501,A449,$B$2:$B$501,B449)&lt;&gt;1,"DUPLICATE_ID","OK")))</x:f>
      </x:c>
      <x:c r="AL449" s="9" t="str">
        <x:f>IF(A449="","",IF(AND(AK449="OK",J449="READY",F449&lt;&gt;"",G449&lt;&gt;"",K449&lt;&gt;"",OR(L449="PASS",L449="FAIL"),M449&lt;&gt;"",P449="social-publication-v2"),"YES","NO"))</x:f>
      </x:c>
      <x:c r="AM449" s="9" t="str">
        <x:f>IF(A449="","",IF(AND(AK449="OK",J449="READY",F449&lt;&gt;"",G449&lt;&gt;"",K449&lt;&gt;"",S449="OK",OR(R449="PASS",R449="FAIL")),"YES","NO"))</x:f>
      </x:c>
      <x:c r="AN449" s="9" t="str">
        <x:f>IF(A449="","",F449&amp;" | "&amp;G449&amp;" | "&amp;H449&amp;" | "&amp;I449)</x:f>
      </x:c>
    </x:row>
    <x:row r="450" ht="33" customHeight="1">
      <x:c r="A450" s="3"/>
      <x:c r="B450" s="3"/>
      <x:c r="C450" s="3"/>
      <x:c r="D450" s="3"/>
      <x:c r="E450" s="3"/>
      <x:c r="F450" s="3"/>
      <x:c r="G450" s="3"/>
      <x:c r="H450" s="3"/>
      <x:c r="I450" s="3"/>
      <x:c r="J450" s="3"/>
      <x:c r="K450" s="3"/>
      <x:c r="L450" s="6"/>
      <x:c r="M450" s="6"/>
      <x:c r="N450" s="6"/>
      <x:c r="O450" s="6"/>
      <x:c r="P450" s="6"/>
      <x:c r="Q450" s="7"/>
      <x:c r="R450" s="7"/>
      <x:c r="S450" s="7"/>
      <x:c r="T450" s="7"/>
      <x:c r="U450" s="7"/>
      <x:c r="V450" s="7"/>
      <x:c r="W450" s="7"/>
      <x:c r="X450" s="7"/>
      <x:c r="Y450" s="7"/>
      <x:c r="Z450" s="7"/>
      <x:c r="AA450" s="7"/>
      <x:c r="AB450" s="7"/>
      <x:c r="AC450" s="7"/>
      <x:c r="AD450" s="7"/>
      <x:c r="AE450" s="3"/>
      <x:c r="AF450" s="3"/>
      <x:c r="AG450" s="3"/>
      <x:c r="AH450" s="3"/>
      <x:c r="AI450" s="3"/>
      <x:c r="AJ450" s="9" t="str">
        <x:f>IF(A450="","",A450&amp;"|"&amp;B450)</x:f>
      </x:c>
      <x:c r="AK450" s="9" t="str">
        <x:f>IF(A450="",IF(B450="","","MISSING_TEST_ID"),IF(B450="","MISSING_RUN_ID",IF(COUNTIFS($A$2:$A$501,A450,$B$2:$B$501,B450)&lt;&gt;1,"DUPLICATE_ID","OK")))</x:f>
      </x:c>
      <x:c r="AL450" s="9" t="str">
        <x:f>IF(A450="","",IF(AND(AK450="OK",J450="READY",F450&lt;&gt;"",G450&lt;&gt;"",K450&lt;&gt;"",OR(L450="PASS",L450="FAIL"),M450&lt;&gt;"",P450="social-publication-v2"),"YES","NO"))</x:f>
      </x:c>
      <x:c r="AM450" s="9" t="str">
        <x:f>IF(A450="","",IF(AND(AK450="OK",J450="READY",F450&lt;&gt;"",G450&lt;&gt;"",K450&lt;&gt;"",S450="OK",OR(R450="PASS",R450="FAIL")),"YES","NO"))</x:f>
      </x:c>
      <x:c r="AN450" s="9" t="str">
        <x:f>IF(A450="","",F450&amp;" | "&amp;G450&amp;" | "&amp;H450&amp;" | "&amp;I450)</x:f>
      </x:c>
    </x:row>
    <x:row r="451" ht="33" customHeight="1">
      <x:c r="A451" s="3"/>
      <x:c r="B451" s="3"/>
      <x:c r="C451" s="3"/>
      <x:c r="D451" s="3"/>
      <x:c r="E451" s="3"/>
      <x:c r="F451" s="3"/>
      <x:c r="G451" s="3"/>
      <x:c r="H451" s="3"/>
      <x:c r="I451" s="3"/>
      <x:c r="J451" s="3"/>
      <x:c r="K451" s="3"/>
      <x:c r="L451" s="6"/>
      <x:c r="M451" s="6"/>
      <x:c r="N451" s="6"/>
      <x:c r="O451" s="6"/>
      <x:c r="P451" s="6"/>
      <x:c r="Q451" s="7"/>
      <x:c r="R451" s="7"/>
      <x:c r="S451" s="7"/>
      <x:c r="T451" s="7"/>
      <x:c r="U451" s="7"/>
      <x:c r="V451" s="7"/>
      <x:c r="W451" s="7"/>
      <x:c r="X451" s="7"/>
      <x:c r="Y451" s="7"/>
      <x:c r="Z451" s="7"/>
      <x:c r="AA451" s="7"/>
      <x:c r="AB451" s="7"/>
      <x:c r="AC451" s="7"/>
      <x:c r="AD451" s="7"/>
      <x:c r="AE451" s="3"/>
      <x:c r="AF451" s="3"/>
      <x:c r="AG451" s="3"/>
      <x:c r="AH451" s="3"/>
      <x:c r="AI451" s="3"/>
      <x:c r="AJ451" s="9" t="str">
        <x:f>IF(A451="","",A451&amp;"|"&amp;B451)</x:f>
      </x:c>
      <x:c r="AK451" s="9" t="str">
        <x:f>IF(A451="",IF(B451="","","MISSING_TEST_ID"),IF(B451="","MISSING_RUN_ID",IF(COUNTIFS($A$2:$A$501,A451,$B$2:$B$501,B451)&lt;&gt;1,"DUPLICATE_ID","OK")))</x:f>
      </x:c>
      <x:c r="AL451" s="9" t="str">
        <x:f>IF(A451="","",IF(AND(AK451="OK",J451="READY",F451&lt;&gt;"",G451&lt;&gt;"",K451&lt;&gt;"",OR(L451="PASS",L451="FAIL"),M451&lt;&gt;"",P451="social-publication-v2"),"YES","NO"))</x:f>
      </x:c>
      <x:c r="AM451" s="9" t="str">
        <x:f>IF(A451="","",IF(AND(AK451="OK",J451="READY",F451&lt;&gt;"",G451&lt;&gt;"",K451&lt;&gt;"",S451="OK",OR(R451="PASS",R451="FAIL")),"YES","NO"))</x:f>
      </x:c>
      <x:c r="AN451" s="9" t="str">
        <x:f>IF(A451="","",F451&amp;" | "&amp;G451&amp;" | "&amp;H451&amp;" | "&amp;I451)</x:f>
      </x:c>
    </x:row>
    <x:row r="452" ht="33" customHeight="1">
      <x:c r="A452" s="3"/>
      <x:c r="B452" s="3"/>
      <x:c r="C452" s="3"/>
      <x:c r="D452" s="3"/>
      <x:c r="E452" s="3"/>
      <x:c r="F452" s="3"/>
      <x:c r="G452" s="3"/>
      <x:c r="H452" s="3"/>
      <x:c r="I452" s="3"/>
      <x:c r="J452" s="3"/>
      <x:c r="K452" s="3"/>
      <x:c r="L452" s="6"/>
      <x:c r="M452" s="6"/>
      <x:c r="N452" s="6"/>
      <x:c r="O452" s="6"/>
      <x:c r="P452" s="6"/>
      <x:c r="Q452" s="7"/>
      <x:c r="R452" s="7"/>
      <x:c r="S452" s="7"/>
      <x:c r="T452" s="7"/>
      <x:c r="U452" s="7"/>
      <x:c r="V452" s="7"/>
      <x:c r="W452" s="7"/>
      <x:c r="X452" s="7"/>
      <x:c r="Y452" s="7"/>
      <x:c r="Z452" s="7"/>
      <x:c r="AA452" s="7"/>
      <x:c r="AB452" s="7"/>
      <x:c r="AC452" s="7"/>
      <x:c r="AD452" s="7"/>
      <x:c r="AE452" s="3"/>
      <x:c r="AF452" s="3"/>
      <x:c r="AG452" s="3"/>
      <x:c r="AH452" s="3"/>
      <x:c r="AI452" s="3"/>
      <x:c r="AJ452" s="9" t="str">
        <x:f>IF(A452="","",A452&amp;"|"&amp;B452)</x:f>
      </x:c>
      <x:c r="AK452" s="9" t="str">
        <x:f>IF(A452="",IF(B452="","","MISSING_TEST_ID"),IF(B452="","MISSING_RUN_ID",IF(COUNTIFS($A$2:$A$501,A452,$B$2:$B$501,B452)&lt;&gt;1,"DUPLICATE_ID","OK")))</x:f>
      </x:c>
      <x:c r="AL452" s="9" t="str">
        <x:f>IF(A452="","",IF(AND(AK452="OK",J452="READY",F452&lt;&gt;"",G452&lt;&gt;"",K452&lt;&gt;"",OR(L452="PASS",L452="FAIL"),M452&lt;&gt;"",P452="social-publication-v2"),"YES","NO"))</x:f>
      </x:c>
      <x:c r="AM452" s="9" t="str">
        <x:f>IF(A452="","",IF(AND(AK452="OK",J452="READY",F452&lt;&gt;"",G452&lt;&gt;"",K452&lt;&gt;"",S452="OK",OR(R452="PASS",R452="FAIL")),"YES","NO"))</x:f>
      </x:c>
      <x:c r="AN452" s="9" t="str">
        <x:f>IF(A452="","",F452&amp;" | "&amp;G452&amp;" | "&amp;H452&amp;" | "&amp;I452)</x:f>
      </x:c>
    </x:row>
    <x:row r="453" ht="33" customHeight="1">
      <x:c r="A453" s="3"/>
      <x:c r="B453" s="3"/>
      <x:c r="C453" s="3"/>
      <x:c r="D453" s="3"/>
      <x:c r="E453" s="3"/>
      <x:c r="F453" s="3"/>
      <x:c r="G453" s="3"/>
      <x:c r="H453" s="3"/>
      <x:c r="I453" s="3"/>
      <x:c r="J453" s="3"/>
      <x:c r="K453" s="3"/>
      <x:c r="L453" s="6"/>
      <x:c r="M453" s="6"/>
      <x:c r="N453" s="6"/>
      <x:c r="O453" s="6"/>
      <x:c r="P453" s="6"/>
      <x:c r="Q453" s="7"/>
      <x:c r="R453" s="7"/>
      <x:c r="S453" s="7"/>
      <x:c r="T453" s="7"/>
      <x:c r="U453" s="7"/>
      <x:c r="V453" s="7"/>
      <x:c r="W453" s="7"/>
      <x:c r="X453" s="7"/>
      <x:c r="Y453" s="7"/>
      <x:c r="Z453" s="7"/>
      <x:c r="AA453" s="7"/>
      <x:c r="AB453" s="7"/>
      <x:c r="AC453" s="7"/>
      <x:c r="AD453" s="7"/>
      <x:c r="AE453" s="3"/>
      <x:c r="AF453" s="3"/>
      <x:c r="AG453" s="3"/>
      <x:c r="AH453" s="3"/>
      <x:c r="AI453" s="3"/>
      <x:c r="AJ453" s="9" t="str">
        <x:f>IF(A453="","",A453&amp;"|"&amp;B453)</x:f>
      </x:c>
      <x:c r="AK453" s="9" t="str">
        <x:f>IF(A453="",IF(B453="","","MISSING_TEST_ID"),IF(B453="","MISSING_RUN_ID",IF(COUNTIFS($A$2:$A$501,A453,$B$2:$B$501,B453)&lt;&gt;1,"DUPLICATE_ID","OK")))</x:f>
      </x:c>
      <x:c r="AL453" s="9" t="str">
        <x:f>IF(A453="","",IF(AND(AK453="OK",J453="READY",F453&lt;&gt;"",G453&lt;&gt;"",K453&lt;&gt;"",OR(L453="PASS",L453="FAIL"),M453&lt;&gt;"",P453="social-publication-v2"),"YES","NO"))</x:f>
      </x:c>
      <x:c r="AM453" s="9" t="str">
        <x:f>IF(A453="","",IF(AND(AK453="OK",J453="READY",F453&lt;&gt;"",G453&lt;&gt;"",K453&lt;&gt;"",S453="OK",OR(R453="PASS",R453="FAIL")),"YES","NO"))</x:f>
      </x:c>
      <x:c r="AN453" s="9" t="str">
        <x:f>IF(A453="","",F453&amp;" | "&amp;G453&amp;" | "&amp;H453&amp;" | "&amp;I453)</x:f>
      </x:c>
    </x:row>
    <x:row r="454" ht="33" customHeight="1">
      <x:c r="A454" s="3"/>
      <x:c r="B454" s="3"/>
      <x:c r="C454" s="3"/>
      <x:c r="D454" s="3"/>
      <x:c r="E454" s="3"/>
      <x:c r="F454" s="3"/>
      <x:c r="G454" s="3"/>
      <x:c r="H454" s="3"/>
      <x:c r="I454" s="3"/>
      <x:c r="J454" s="3"/>
      <x:c r="K454" s="3"/>
      <x:c r="L454" s="6"/>
      <x:c r="M454" s="6"/>
      <x:c r="N454" s="6"/>
      <x:c r="O454" s="6"/>
      <x:c r="P454" s="6"/>
      <x:c r="Q454" s="7"/>
      <x:c r="R454" s="7"/>
      <x:c r="S454" s="7"/>
      <x:c r="T454" s="7"/>
      <x:c r="U454" s="7"/>
      <x:c r="V454" s="7"/>
      <x:c r="W454" s="7"/>
      <x:c r="X454" s="7"/>
      <x:c r="Y454" s="7"/>
      <x:c r="Z454" s="7"/>
      <x:c r="AA454" s="7"/>
      <x:c r="AB454" s="7"/>
      <x:c r="AC454" s="7"/>
      <x:c r="AD454" s="7"/>
      <x:c r="AE454" s="3"/>
      <x:c r="AF454" s="3"/>
      <x:c r="AG454" s="3"/>
      <x:c r="AH454" s="3"/>
      <x:c r="AI454" s="3"/>
      <x:c r="AJ454" s="9" t="str">
        <x:f>IF(A454="","",A454&amp;"|"&amp;B454)</x:f>
      </x:c>
      <x:c r="AK454" s="9" t="str">
        <x:f>IF(A454="",IF(B454="","","MISSING_TEST_ID"),IF(B454="","MISSING_RUN_ID",IF(COUNTIFS($A$2:$A$501,A454,$B$2:$B$501,B454)&lt;&gt;1,"DUPLICATE_ID","OK")))</x:f>
      </x:c>
      <x:c r="AL454" s="9" t="str">
        <x:f>IF(A454="","",IF(AND(AK454="OK",J454="READY",F454&lt;&gt;"",G454&lt;&gt;"",K454&lt;&gt;"",OR(L454="PASS",L454="FAIL"),M454&lt;&gt;"",P454="social-publication-v2"),"YES","NO"))</x:f>
      </x:c>
      <x:c r="AM454" s="9" t="str">
        <x:f>IF(A454="","",IF(AND(AK454="OK",J454="READY",F454&lt;&gt;"",G454&lt;&gt;"",K454&lt;&gt;"",S454="OK",OR(R454="PASS",R454="FAIL")),"YES","NO"))</x:f>
      </x:c>
      <x:c r="AN454" s="9" t="str">
        <x:f>IF(A454="","",F454&amp;" | "&amp;G454&amp;" | "&amp;H454&amp;" | "&amp;I454)</x:f>
      </x:c>
    </x:row>
    <x:row r="455" ht="33" customHeight="1">
      <x:c r="A455" s="3"/>
      <x:c r="B455" s="3"/>
      <x:c r="C455" s="3"/>
      <x:c r="D455" s="3"/>
      <x:c r="E455" s="3"/>
      <x:c r="F455" s="3"/>
      <x:c r="G455" s="3"/>
      <x:c r="H455" s="3"/>
      <x:c r="I455" s="3"/>
      <x:c r="J455" s="3"/>
      <x:c r="K455" s="3"/>
      <x:c r="L455" s="6"/>
      <x:c r="M455" s="6"/>
      <x:c r="N455" s="6"/>
      <x:c r="O455" s="6"/>
      <x:c r="P455" s="6"/>
      <x:c r="Q455" s="7"/>
      <x:c r="R455" s="7"/>
      <x:c r="S455" s="7"/>
      <x:c r="T455" s="7"/>
      <x:c r="U455" s="7"/>
      <x:c r="V455" s="7"/>
      <x:c r="W455" s="7"/>
      <x:c r="X455" s="7"/>
      <x:c r="Y455" s="7"/>
      <x:c r="Z455" s="7"/>
      <x:c r="AA455" s="7"/>
      <x:c r="AB455" s="7"/>
      <x:c r="AC455" s="7"/>
      <x:c r="AD455" s="7"/>
      <x:c r="AE455" s="3"/>
      <x:c r="AF455" s="3"/>
      <x:c r="AG455" s="3"/>
      <x:c r="AH455" s="3"/>
      <x:c r="AI455" s="3"/>
      <x:c r="AJ455" s="9" t="str">
        <x:f>IF(A455="","",A455&amp;"|"&amp;B455)</x:f>
      </x:c>
      <x:c r="AK455" s="9" t="str">
        <x:f>IF(A455="",IF(B455="","","MISSING_TEST_ID"),IF(B455="","MISSING_RUN_ID",IF(COUNTIFS($A$2:$A$501,A455,$B$2:$B$501,B455)&lt;&gt;1,"DUPLICATE_ID","OK")))</x:f>
      </x:c>
      <x:c r="AL455" s="9" t="str">
        <x:f>IF(A455="","",IF(AND(AK455="OK",J455="READY",F455&lt;&gt;"",G455&lt;&gt;"",K455&lt;&gt;"",OR(L455="PASS",L455="FAIL"),M455&lt;&gt;"",P455="social-publication-v2"),"YES","NO"))</x:f>
      </x:c>
      <x:c r="AM455" s="9" t="str">
        <x:f>IF(A455="","",IF(AND(AK455="OK",J455="READY",F455&lt;&gt;"",G455&lt;&gt;"",K455&lt;&gt;"",S455="OK",OR(R455="PASS",R455="FAIL")),"YES","NO"))</x:f>
      </x:c>
      <x:c r="AN455" s="9" t="str">
        <x:f>IF(A455="","",F455&amp;" | "&amp;G455&amp;" | "&amp;H455&amp;" | "&amp;I455)</x:f>
      </x:c>
    </x:row>
    <x:row r="456" ht="33" customHeight="1">
      <x:c r="A456" s="3"/>
      <x:c r="B456" s="3"/>
      <x:c r="C456" s="3"/>
      <x:c r="D456" s="3"/>
      <x:c r="E456" s="3"/>
      <x:c r="F456" s="3"/>
      <x:c r="G456" s="3"/>
      <x:c r="H456" s="3"/>
      <x:c r="I456" s="3"/>
      <x:c r="J456" s="3"/>
      <x:c r="K456" s="3"/>
      <x:c r="L456" s="6"/>
      <x:c r="M456" s="6"/>
      <x:c r="N456" s="6"/>
      <x:c r="O456" s="6"/>
      <x:c r="P456" s="6"/>
      <x:c r="Q456" s="7"/>
      <x:c r="R456" s="7"/>
      <x:c r="S456" s="7"/>
      <x:c r="T456" s="7"/>
      <x:c r="U456" s="7"/>
      <x:c r="V456" s="7"/>
      <x:c r="W456" s="7"/>
      <x:c r="X456" s="7"/>
      <x:c r="Y456" s="7"/>
      <x:c r="Z456" s="7"/>
      <x:c r="AA456" s="7"/>
      <x:c r="AB456" s="7"/>
      <x:c r="AC456" s="7"/>
      <x:c r="AD456" s="7"/>
      <x:c r="AE456" s="3"/>
      <x:c r="AF456" s="3"/>
      <x:c r="AG456" s="3"/>
      <x:c r="AH456" s="3"/>
      <x:c r="AI456" s="3"/>
      <x:c r="AJ456" s="9" t="str">
        <x:f>IF(A456="","",A456&amp;"|"&amp;B456)</x:f>
      </x:c>
      <x:c r="AK456" s="9" t="str">
        <x:f>IF(A456="",IF(B456="","","MISSING_TEST_ID"),IF(B456="","MISSING_RUN_ID",IF(COUNTIFS($A$2:$A$501,A456,$B$2:$B$501,B456)&lt;&gt;1,"DUPLICATE_ID","OK")))</x:f>
      </x:c>
      <x:c r="AL456" s="9" t="str">
        <x:f>IF(A456="","",IF(AND(AK456="OK",J456="READY",F456&lt;&gt;"",G456&lt;&gt;"",K456&lt;&gt;"",OR(L456="PASS",L456="FAIL"),M456&lt;&gt;"",P456="social-publication-v2"),"YES","NO"))</x:f>
      </x:c>
      <x:c r="AM456" s="9" t="str">
        <x:f>IF(A456="","",IF(AND(AK456="OK",J456="READY",F456&lt;&gt;"",G456&lt;&gt;"",K456&lt;&gt;"",S456="OK",OR(R456="PASS",R456="FAIL")),"YES","NO"))</x:f>
      </x:c>
      <x:c r="AN456" s="9" t="str">
        <x:f>IF(A456="","",F456&amp;" | "&amp;G456&amp;" | "&amp;H456&amp;" | "&amp;I456)</x:f>
      </x:c>
    </x:row>
    <x:row r="457" ht="33" customHeight="1">
      <x:c r="A457" s="3"/>
      <x:c r="B457" s="3"/>
      <x:c r="C457" s="3"/>
      <x:c r="D457" s="3"/>
      <x:c r="E457" s="3"/>
      <x:c r="F457" s="3"/>
      <x:c r="G457" s="3"/>
      <x:c r="H457" s="3"/>
      <x:c r="I457" s="3"/>
      <x:c r="J457" s="3"/>
      <x:c r="K457" s="3"/>
      <x:c r="L457" s="6"/>
      <x:c r="M457" s="6"/>
      <x:c r="N457" s="6"/>
      <x:c r="O457" s="6"/>
      <x:c r="P457" s="6"/>
      <x:c r="Q457" s="7"/>
      <x:c r="R457" s="7"/>
      <x:c r="S457" s="7"/>
      <x:c r="T457" s="7"/>
      <x:c r="U457" s="7"/>
      <x:c r="V457" s="7"/>
      <x:c r="W457" s="7"/>
      <x:c r="X457" s="7"/>
      <x:c r="Y457" s="7"/>
      <x:c r="Z457" s="7"/>
      <x:c r="AA457" s="7"/>
      <x:c r="AB457" s="7"/>
      <x:c r="AC457" s="7"/>
      <x:c r="AD457" s="7"/>
      <x:c r="AE457" s="3"/>
      <x:c r="AF457" s="3"/>
      <x:c r="AG457" s="3"/>
      <x:c r="AH457" s="3"/>
      <x:c r="AI457" s="3"/>
      <x:c r="AJ457" s="9" t="str">
        <x:f>IF(A457="","",A457&amp;"|"&amp;B457)</x:f>
      </x:c>
      <x:c r="AK457" s="9" t="str">
        <x:f>IF(A457="",IF(B457="","","MISSING_TEST_ID"),IF(B457="","MISSING_RUN_ID",IF(COUNTIFS($A$2:$A$501,A457,$B$2:$B$501,B457)&lt;&gt;1,"DUPLICATE_ID","OK")))</x:f>
      </x:c>
      <x:c r="AL457" s="9" t="str">
        <x:f>IF(A457="","",IF(AND(AK457="OK",J457="READY",F457&lt;&gt;"",G457&lt;&gt;"",K457&lt;&gt;"",OR(L457="PASS",L457="FAIL"),M457&lt;&gt;"",P457="social-publication-v2"),"YES","NO"))</x:f>
      </x:c>
      <x:c r="AM457" s="9" t="str">
        <x:f>IF(A457="","",IF(AND(AK457="OK",J457="READY",F457&lt;&gt;"",G457&lt;&gt;"",K457&lt;&gt;"",S457="OK",OR(R457="PASS",R457="FAIL")),"YES","NO"))</x:f>
      </x:c>
      <x:c r="AN457" s="9" t="str">
        <x:f>IF(A457="","",F457&amp;" | "&amp;G457&amp;" | "&amp;H457&amp;" | "&amp;I457)</x:f>
      </x:c>
    </x:row>
    <x:row r="458" ht="33" customHeight="1">
      <x:c r="A458" s="3"/>
      <x:c r="B458" s="3"/>
      <x:c r="C458" s="3"/>
      <x:c r="D458" s="3"/>
      <x:c r="E458" s="3"/>
      <x:c r="F458" s="3"/>
      <x:c r="G458" s="3"/>
      <x:c r="H458" s="3"/>
      <x:c r="I458" s="3"/>
      <x:c r="J458" s="3"/>
      <x:c r="K458" s="3"/>
      <x:c r="L458" s="6"/>
      <x:c r="M458" s="6"/>
      <x:c r="N458" s="6"/>
      <x:c r="O458" s="6"/>
      <x:c r="P458" s="6"/>
      <x:c r="Q458" s="7"/>
      <x:c r="R458" s="7"/>
      <x:c r="S458" s="7"/>
      <x:c r="T458" s="7"/>
      <x:c r="U458" s="7"/>
      <x:c r="V458" s="7"/>
      <x:c r="W458" s="7"/>
      <x:c r="X458" s="7"/>
      <x:c r="Y458" s="7"/>
      <x:c r="Z458" s="7"/>
      <x:c r="AA458" s="7"/>
      <x:c r="AB458" s="7"/>
      <x:c r="AC458" s="7"/>
      <x:c r="AD458" s="7"/>
      <x:c r="AE458" s="3"/>
      <x:c r="AF458" s="3"/>
      <x:c r="AG458" s="3"/>
      <x:c r="AH458" s="3"/>
      <x:c r="AI458" s="3"/>
      <x:c r="AJ458" s="9" t="str">
        <x:f>IF(A458="","",A458&amp;"|"&amp;B458)</x:f>
      </x:c>
      <x:c r="AK458" s="9" t="str">
        <x:f>IF(A458="",IF(B458="","","MISSING_TEST_ID"),IF(B458="","MISSING_RUN_ID",IF(COUNTIFS($A$2:$A$501,A458,$B$2:$B$501,B458)&lt;&gt;1,"DUPLICATE_ID","OK")))</x:f>
      </x:c>
      <x:c r="AL458" s="9" t="str">
        <x:f>IF(A458="","",IF(AND(AK458="OK",J458="READY",F458&lt;&gt;"",G458&lt;&gt;"",K458&lt;&gt;"",OR(L458="PASS",L458="FAIL"),M458&lt;&gt;"",P458="social-publication-v2"),"YES","NO"))</x:f>
      </x:c>
      <x:c r="AM458" s="9" t="str">
        <x:f>IF(A458="","",IF(AND(AK458="OK",J458="READY",F458&lt;&gt;"",G458&lt;&gt;"",K458&lt;&gt;"",S458="OK",OR(R458="PASS",R458="FAIL")),"YES","NO"))</x:f>
      </x:c>
      <x:c r="AN458" s="9" t="str">
        <x:f>IF(A458="","",F458&amp;" | "&amp;G458&amp;" | "&amp;H458&amp;" | "&amp;I458)</x:f>
      </x:c>
    </x:row>
    <x:row r="459" ht="33" customHeight="1">
      <x:c r="A459" s="3"/>
      <x:c r="B459" s="3"/>
      <x:c r="C459" s="3"/>
      <x:c r="D459" s="3"/>
      <x:c r="E459" s="3"/>
      <x:c r="F459" s="3"/>
      <x:c r="G459" s="3"/>
      <x:c r="H459" s="3"/>
      <x:c r="I459" s="3"/>
      <x:c r="J459" s="3"/>
      <x:c r="K459" s="3"/>
      <x:c r="L459" s="6"/>
      <x:c r="M459" s="6"/>
      <x:c r="N459" s="6"/>
      <x:c r="O459" s="6"/>
      <x:c r="P459" s="6"/>
      <x:c r="Q459" s="7"/>
      <x:c r="R459" s="7"/>
      <x:c r="S459" s="7"/>
      <x:c r="T459" s="7"/>
      <x:c r="U459" s="7"/>
      <x:c r="V459" s="7"/>
      <x:c r="W459" s="7"/>
      <x:c r="X459" s="7"/>
      <x:c r="Y459" s="7"/>
      <x:c r="Z459" s="7"/>
      <x:c r="AA459" s="7"/>
      <x:c r="AB459" s="7"/>
      <x:c r="AC459" s="7"/>
      <x:c r="AD459" s="7"/>
      <x:c r="AE459" s="3"/>
      <x:c r="AF459" s="3"/>
      <x:c r="AG459" s="3"/>
      <x:c r="AH459" s="3"/>
      <x:c r="AI459" s="3"/>
      <x:c r="AJ459" s="9" t="str">
        <x:f>IF(A459="","",A459&amp;"|"&amp;B459)</x:f>
      </x:c>
      <x:c r="AK459" s="9" t="str">
        <x:f>IF(A459="",IF(B459="","","MISSING_TEST_ID"),IF(B459="","MISSING_RUN_ID",IF(COUNTIFS($A$2:$A$501,A459,$B$2:$B$501,B459)&lt;&gt;1,"DUPLICATE_ID","OK")))</x:f>
      </x:c>
      <x:c r="AL459" s="9" t="str">
        <x:f>IF(A459="","",IF(AND(AK459="OK",J459="READY",F459&lt;&gt;"",G459&lt;&gt;"",K459&lt;&gt;"",OR(L459="PASS",L459="FAIL"),M459&lt;&gt;"",P459="social-publication-v2"),"YES","NO"))</x:f>
      </x:c>
      <x:c r="AM459" s="9" t="str">
        <x:f>IF(A459="","",IF(AND(AK459="OK",J459="READY",F459&lt;&gt;"",G459&lt;&gt;"",K459&lt;&gt;"",S459="OK",OR(R459="PASS",R459="FAIL")),"YES","NO"))</x:f>
      </x:c>
      <x:c r="AN459" s="9" t="str">
        <x:f>IF(A459="","",F459&amp;" | "&amp;G459&amp;" | "&amp;H459&amp;" | "&amp;I459)</x:f>
      </x:c>
    </x:row>
    <x:row r="460" ht="33" customHeight="1">
      <x:c r="A460" s="3"/>
      <x:c r="B460" s="3"/>
      <x:c r="C460" s="3"/>
      <x:c r="D460" s="3"/>
      <x:c r="E460" s="3"/>
      <x:c r="F460" s="3"/>
      <x:c r="G460" s="3"/>
      <x:c r="H460" s="3"/>
      <x:c r="I460" s="3"/>
      <x:c r="J460" s="3"/>
      <x:c r="K460" s="3"/>
      <x:c r="L460" s="6"/>
      <x:c r="M460" s="6"/>
      <x:c r="N460" s="6"/>
      <x:c r="O460" s="6"/>
      <x:c r="P460" s="6"/>
      <x:c r="Q460" s="7"/>
      <x:c r="R460" s="7"/>
      <x:c r="S460" s="7"/>
      <x:c r="T460" s="7"/>
      <x:c r="U460" s="7"/>
      <x:c r="V460" s="7"/>
      <x:c r="W460" s="7"/>
      <x:c r="X460" s="7"/>
      <x:c r="Y460" s="7"/>
      <x:c r="Z460" s="7"/>
      <x:c r="AA460" s="7"/>
      <x:c r="AB460" s="7"/>
      <x:c r="AC460" s="7"/>
      <x:c r="AD460" s="7"/>
      <x:c r="AE460" s="3"/>
      <x:c r="AF460" s="3"/>
      <x:c r="AG460" s="3"/>
      <x:c r="AH460" s="3"/>
      <x:c r="AI460" s="3"/>
      <x:c r="AJ460" s="9" t="str">
        <x:f>IF(A460="","",A460&amp;"|"&amp;B460)</x:f>
      </x:c>
      <x:c r="AK460" s="9" t="str">
        <x:f>IF(A460="",IF(B460="","","MISSING_TEST_ID"),IF(B460="","MISSING_RUN_ID",IF(COUNTIFS($A$2:$A$501,A460,$B$2:$B$501,B460)&lt;&gt;1,"DUPLICATE_ID","OK")))</x:f>
      </x:c>
      <x:c r="AL460" s="9" t="str">
        <x:f>IF(A460="","",IF(AND(AK460="OK",J460="READY",F460&lt;&gt;"",G460&lt;&gt;"",K460&lt;&gt;"",OR(L460="PASS",L460="FAIL"),M460&lt;&gt;"",P460="social-publication-v2"),"YES","NO"))</x:f>
      </x:c>
      <x:c r="AM460" s="9" t="str">
        <x:f>IF(A460="","",IF(AND(AK460="OK",J460="READY",F460&lt;&gt;"",G460&lt;&gt;"",K460&lt;&gt;"",S460="OK",OR(R460="PASS",R460="FAIL")),"YES","NO"))</x:f>
      </x:c>
      <x:c r="AN460" s="9" t="str">
        <x:f>IF(A460="","",F460&amp;" | "&amp;G460&amp;" | "&amp;H460&amp;" | "&amp;I460)</x:f>
      </x:c>
    </x:row>
    <x:row r="461" ht="33" customHeight="1">
      <x:c r="A461" s="3"/>
      <x:c r="B461" s="3"/>
      <x:c r="C461" s="3"/>
      <x:c r="D461" s="3"/>
      <x:c r="E461" s="3"/>
      <x:c r="F461" s="3"/>
      <x:c r="G461" s="3"/>
      <x:c r="H461" s="3"/>
      <x:c r="I461" s="3"/>
      <x:c r="J461" s="3"/>
      <x:c r="K461" s="3"/>
      <x:c r="L461" s="6"/>
      <x:c r="M461" s="6"/>
      <x:c r="N461" s="6"/>
      <x:c r="O461" s="6"/>
      <x:c r="P461" s="6"/>
      <x:c r="Q461" s="7"/>
      <x:c r="R461" s="7"/>
      <x:c r="S461" s="7"/>
      <x:c r="T461" s="7"/>
      <x:c r="U461" s="7"/>
      <x:c r="V461" s="7"/>
      <x:c r="W461" s="7"/>
      <x:c r="X461" s="7"/>
      <x:c r="Y461" s="7"/>
      <x:c r="Z461" s="7"/>
      <x:c r="AA461" s="7"/>
      <x:c r="AB461" s="7"/>
      <x:c r="AC461" s="7"/>
      <x:c r="AD461" s="7"/>
      <x:c r="AE461" s="3"/>
      <x:c r="AF461" s="3"/>
      <x:c r="AG461" s="3"/>
      <x:c r="AH461" s="3"/>
      <x:c r="AI461" s="3"/>
      <x:c r="AJ461" s="9" t="str">
        <x:f>IF(A461="","",A461&amp;"|"&amp;B461)</x:f>
      </x:c>
      <x:c r="AK461" s="9" t="str">
        <x:f>IF(A461="",IF(B461="","","MISSING_TEST_ID"),IF(B461="","MISSING_RUN_ID",IF(COUNTIFS($A$2:$A$501,A461,$B$2:$B$501,B461)&lt;&gt;1,"DUPLICATE_ID","OK")))</x:f>
      </x:c>
      <x:c r="AL461" s="9" t="str">
        <x:f>IF(A461="","",IF(AND(AK461="OK",J461="READY",F461&lt;&gt;"",G461&lt;&gt;"",K461&lt;&gt;"",OR(L461="PASS",L461="FAIL"),M461&lt;&gt;"",P461="social-publication-v2"),"YES","NO"))</x:f>
      </x:c>
      <x:c r="AM461" s="9" t="str">
        <x:f>IF(A461="","",IF(AND(AK461="OK",J461="READY",F461&lt;&gt;"",G461&lt;&gt;"",K461&lt;&gt;"",S461="OK",OR(R461="PASS",R461="FAIL")),"YES","NO"))</x:f>
      </x:c>
      <x:c r="AN461" s="9" t="str">
        <x:f>IF(A461="","",F461&amp;" | "&amp;G461&amp;" | "&amp;H461&amp;" | "&amp;I461)</x:f>
      </x:c>
    </x:row>
    <x:row r="462" ht="33" customHeight="1">
      <x:c r="A462" s="3"/>
      <x:c r="B462" s="3"/>
      <x:c r="C462" s="3"/>
      <x:c r="D462" s="3"/>
      <x:c r="E462" s="3"/>
      <x:c r="F462" s="3"/>
      <x:c r="G462" s="3"/>
      <x:c r="H462" s="3"/>
      <x:c r="I462" s="3"/>
      <x:c r="J462" s="3"/>
      <x:c r="K462" s="3"/>
      <x:c r="L462" s="6"/>
      <x:c r="M462" s="6"/>
      <x:c r="N462" s="6"/>
      <x:c r="O462" s="6"/>
      <x:c r="P462" s="6"/>
      <x:c r="Q462" s="7"/>
      <x:c r="R462" s="7"/>
      <x:c r="S462" s="7"/>
      <x:c r="T462" s="7"/>
      <x:c r="U462" s="7"/>
      <x:c r="V462" s="7"/>
      <x:c r="W462" s="7"/>
      <x:c r="X462" s="7"/>
      <x:c r="Y462" s="7"/>
      <x:c r="Z462" s="7"/>
      <x:c r="AA462" s="7"/>
      <x:c r="AB462" s="7"/>
      <x:c r="AC462" s="7"/>
      <x:c r="AD462" s="7"/>
      <x:c r="AE462" s="3"/>
      <x:c r="AF462" s="3"/>
      <x:c r="AG462" s="3"/>
      <x:c r="AH462" s="3"/>
      <x:c r="AI462" s="3"/>
      <x:c r="AJ462" s="9" t="str">
        <x:f>IF(A462="","",A462&amp;"|"&amp;B462)</x:f>
      </x:c>
      <x:c r="AK462" s="9" t="str">
        <x:f>IF(A462="",IF(B462="","","MISSING_TEST_ID"),IF(B462="","MISSING_RUN_ID",IF(COUNTIFS($A$2:$A$501,A462,$B$2:$B$501,B462)&lt;&gt;1,"DUPLICATE_ID","OK")))</x:f>
      </x:c>
      <x:c r="AL462" s="9" t="str">
        <x:f>IF(A462="","",IF(AND(AK462="OK",J462="READY",F462&lt;&gt;"",G462&lt;&gt;"",K462&lt;&gt;"",OR(L462="PASS",L462="FAIL"),M462&lt;&gt;"",P462="social-publication-v2"),"YES","NO"))</x:f>
      </x:c>
      <x:c r="AM462" s="9" t="str">
        <x:f>IF(A462="","",IF(AND(AK462="OK",J462="READY",F462&lt;&gt;"",G462&lt;&gt;"",K462&lt;&gt;"",S462="OK",OR(R462="PASS",R462="FAIL")),"YES","NO"))</x:f>
      </x:c>
      <x:c r="AN462" s="9" t="str">
        <x:f>IF(A462="","",F462&amp;" | "&amp;G462&amp;" | "&amp;H462&amp;" | "&amp;I462)</x:f>
      </x:c>
    </x:row>
    <x:row r="463" ht="33" customHeight="1">
      <x:c r="A463" s="3"/>
      <x:c r="B463" s="3"/>
      <x:c r="C463" s="3"/>
      <x:c r="D463" s="3"/>
      <x:c r="E463" s="3"/>
      <x:c r="F463" s="3"/>
      <x:c r="G463" s="3"/>
      <x:c r="H463" s="3"/>
      <x:c r="I463" s="3"/>
      <x:c r="J463" s="3"/>
      <x:c r="K463" s="3"/>
      <x:c r="L463" s="6"/>
      <x:c r="M463" s="6"/>
      <x:c r="N463" s="6"/>
      <x:c r="O463" s="6"/>
      <x:c r="P463" s="6"/>
      <x:c r="Q463" s="7"/>
      <x:c r="R463" s="7"/>
      <x:c r="S463" s="7"/>
      <x:c r="T463" s="7"/>
      <x:c r="U463" s="7"/>
      <x:c r="V463" s="7"/>
      <x:c r="W463" s="7"/>
      <x:c r="X463" s="7"/>
      <x:c r="Y463" s="7"/>
      <x:c r="Z463" s="7"/>
      <x:c r="AA463" s="7"/>
      <x:c r="AB463" s="7"/>
      <x:c r="AC463" s="7"/>
      <x:c r="AD463" s="7"/>
      <x:c r="AE463" s="3"/>
      <x:c r="AF463" s="3"/>
      <x:c r="AG463" s="3"/>
      <x:c r="AH463" s="3"/>
      <x:c r="AI463" s="3"/>
      <x:c r="AJ463" s="9" t="str">
        <x:f>IF(A463="","",A463&amp;"|"&amp;B463)</x:f>
      </x:c>
      <x:c r="AK463" s="9" t="str">
        <x:f>IF(A463="",IF(B463="","","MISSING_TEST_ID"),IF(B463="","MISSING_RUN_ID",IF(COUNTIFS($A$2:$A$501,A463,$B$2:$B$501,B463)&lt;&gt;1,"DUPLICATE_ID","OK")))</x:f>
      </x:c>
      <x:c r="AL463" s="9" t="str">
        <x:f>IF(A463="","",IF(AND(AK463="OK",J463="READY",F463&lt;&gt;"",G463&lt;&gt;"",K463&lt;&gt;"",OR(L463="PASS",L463="FAIL"),M463&lt;&gt;"",P463="social-publication-v2"),"YES","NO"))</x:f>
      </x:c>
      <x:c r="AM463" s="9" t="str">
        <x:f>IF(A463="","",IF(AND(AK463="OK",J463="READY",F463&lt;&gt;"",G463&lt;&gt;"",K463&lt;&gt;"",S463="OK",OR(R463="PASS",R463="FAIL")),"YES","NO"))</x:f>
      </x:c>
      <x:c r="AN463" s="9" t="str">
        <x:f>IF(A463="","",F463&amp;" | "&amp;G463&amp;" | "&amp;H463&amp;" | "&amp;I463)</x:f>
      </x:c>
    </x:row>
    <x:row r="464" ht="33" customHeight="1">
      <x:c r="A464" s="3"/>
      <x:c r="B464" s="3"/>
      <x:c r="C464" s="3"/>
      <x:c r="D464" s="3"/>
      <x:c r="E464" s="3"/>
      <x:c r="F464" s="3"/>
      <x:c r="G464" s="3"/>
      <x:c r="H464" s="3"/>
      <x:c r="I464" s="3"/>
      <x:c r="J464" s="3"/>
      <x:c r="K464" s="3"/>
      <x:c r="L464" s="6"/>
      <x:c r="M464" s="6"/>
      <x:c r="N464" s="6"/>
      <x:c r="O464" s="6"/>
      <x:c r="P464" s="6"/>
      <x:c r="Q464" s="7"/>
      <x:c r="R464" s="7"/>
      <x:c r="S464" s="7"/>
      <x:c r="T464" s="7"/>
      <x:c r="U464" s="7"/>
      <x:c r="V464" s="7"/>
      <x:c r="W464" s="7"/>
      <x:c r="X464" s="7"/>
      <x:c r="Y464" s="7"/>
      <x:c r="Z464" s="7"/>
      <x:c r="AA464" s="7"/>
      <x:c r="AB464" s="7"/>
      <x:c r="AC464" s="7"/>
      <x:c r="AD464" s="7"/>
      <x:c r="AE464" s="3"/>
      <x:c r="AF464" s="3"/>
      <x:c r="AG464" s="3"/>
      <x:c r="AH464" s="3"/>
      <x:c r="AI464" s="3"/>
      <x:c r="AJ464" s="9" t="str">
        <x:f>IF(A464="","",A464&amp;"|"&amp;B464)</x:f>
      </x:c>
      <x:c r="AK464" s="9" t="str">
        <x:f>IF(A464="",IF(B464="","","MISSING_TEST_ID"),IF(B464="","MISSING_RUN_ID",IF(COUNTIFS($A$2:$A$501,A464,$B$2:$B$501,B464)&lt;&gt;1,"DUPLICATE_ID","OK")))</x:f>
      </x:c>
      <x:c r="AL464" s="9" t="str">
        <x:f>IF(A464="","",IF(AND(AK464="OK",J464="READY",F464&lt;&gt;"",G464&lt;&gt;"",K464&lt;&gt;"",OR(L464="PASS",L464="FAIL"),M464&lt;&gt;"",P464="social-publication-v2"),"YES","NO"))</x:f>
      </x:c>
      <x:c r="AM464" s="9" t="str">
        <x:f>IF(A464="","",IF(AND(AK464="OK",J464="READY",F464&lt;&gt;"",G464&lt;&gt;"",K464&lt;&gt;"",S464="OK",OR(R464="PASS",R464="FAIL")),"YES","NO"))</x:f>
      </x:c>
      <x:c r="AN464" s="9" t="str">
        <x:f>IF(A464="","",F464&amp;" | "&amp;G464&amp;" | "&amp;H464&amp;" | "&amp;I464)</x:f>
      </x:c>
    </x:row>
    <x:row r="465" ht="33" customHeight="1">
      <x:c r="A465" s="3"/>
      <x:c r="B465" s="3"/>
      <x:c r="C465" s="3"/>
      <x:c r="D465" s="3"/>
      <x:c r="E465" s="3"/>
      <x:c r="F465" s="3"/>
      <x:c r="G465" s="3"/>
      <x:c r="H465" s="3"/>
      <x:c r="I465" s="3"/>
      <x:c r="J465" s="3"/>
      <x:c r="K465" s="3"/>
      <x:c r="L465" s="6"/>
      <x:c r="M465" s="6"/>
      <x:c r="N465" s="6"/>
      <x:c r="O465" s="6"/>
      <x:c r="P465" s="6"/>
      <x:c r="Q465" s="7"/>
      <x:c r="R465" s="7"/>
      <x:c r="S465" s="7"/>
      <x:c r="T465" s="7"/>
      <x:c r="U465" s="7"/>
      <x:c r="V465" s="7"/>
      <x:c r="W465" s="7"/>
      <x:c r="X465" s="7"/>
      <x:c r="Y465" s="7"/>
      <x:c r="Z465" s="7"/>
      <x:c r="AA465" s="7"/>
      <x:c r="AB465" s="7"/>
      <x:c r="AC465" s="7"/>
      <x:c r="AD465" s="7"/>
      <x:c r="AE465" s="3"/>
      <x:c r="AF465" s="3"/>
      <x:c r="AG465" s="3"/>
      <x:c r="AH465" s="3"/>
      <x:c r="AI465" s="3"/>
      <x:c r="AJ465" s="9" t="str">
        <x:f>IF(A465="","",A465&amp;"|"&amp;B465)</x:f>
      </x:c>
      <x:c r="AK465" s="9" t="str">
        <x:f>IF(A465="",IF(B465="","","MISSING_TEST_ID"),IF(B465="","MISSING_RUN_ID",IF(COUNTIFS($A$2:$A$501,A465,$B$2:$B$501,B465)&lt;&gt;1,"DUPLICATE_ID","OK")))</x:f>
      </x:c>
      <x:c r="AL465" s="9" t="str">
        <x:f>IF(A465="","",IF(AND(AK465="OK",J465="READY",F465&lt;&gt;"",G465&lt;&gt;"",K465&lt;&gt;"",OR(L465="PASS",L465="FAIL"),M465&lt;&gt;"",P465="social-publication-v2"),"YES","NO"))</x:f>
      </x:c>
      <x:c r="AM465" s="9" t="str">
        <x:f>IF(A465="","",IF(AND(AK465="OK",J465="READY",F465&lt;&gt;"",G465&lt;&gt;"",K465&lt;&gt;"",S465="OK",OR(R465="PASS",R465="FAIL")),"YES","NO"))</x:f>
      </x:c>
      <x:c r="AN465" s="9" t="str">
        <x:f>IF(A465="","",F465&amp;" | "&amp;G465&amp;" | "&amp;H465&amp;" | "&amp;I465)</x:f>
      </x:c>
    </x:row>
    <x:row r="466" ht="33" customHeight="1">
      <x:c r="A466" s="3"/>
      <x:c r="B466" s="3"/>
      <x:c r="C466" s="3"/>
      <x:c r="D466" s="3"/>
      <x:c r="E466" s="3"/>
      <x:c r="F466" s="3"/>
      <x:c r="G466" s="3"/>
      <x:c r="H466" s="3"/>
      <x:c r="I466" s="3"/>
      <x:c r="J466" s="3"/>
      <x:c r="K466" s="3"/>
      <x:c r="L466" s="6"/>
      <x:c r="M466" s="6"/>
      <x:c r="N466" s="6"/>
      <x:c r="O466" s="6"/>
      <x:c r="P466" s="6"/>
      <x:c r="Q466" s="7"/>
      <x:c r="R466" s="7"/>
      <x:c r="S466" s="7"/>
      <x:c r="T466" s="7"/>
      <x:c r="U466" s="7"/>
      <x:c r="V466" s="7"/>
      <x:c r="W466" s="7"/>
      <x:c r="X466" s="7"/>
      <x:c r="Y466" s="7"/>
      <x:c r="Z466" s="7"/>
      <x:c r="AA466" s="7"/>
      <x:c r="AB466" s="7"/>
      <x:c r="AC466" s="7"/>
      <x:c r="AD466" s="7"/>
      <x:c r="AE466" s="3"/>
      <x:c r="AF466" s="3"/>
      <x:c r="AG466" s="3"/>
      <x:c r="AH466" s="3"/>
      <x:c r="AI466" s="3"/>
      <x:c r="AJ466" s="9" t="str">
        <x:f>IF(A466="","",A466&amp;"|"&amp;B466)</x:f>
      </x:c>
      <x:c r="AK466" s="9" t="str">
        <x:f>IF(A466="",IF(B466="","","MISSING_TEST_ID"),IF(B466="","MISSING_RUN_ID",IF(COUNTIFS($A$2:$A$501,A466,$B$2:$B$501,B466)&lt;&gt;1,"DUPLICATE_ID","OK")))</x:f>
      </x:c>
      <x:c r="AL466" s="9" t="str">
        <x:f>IF(A466="","",IF(AND(AK466="OK",J466="READY",F466&lt;&gt;"",G466&lt;&gt;"",K466&lt;&gt;"",OR(L466="PASS",L466="FAIL"),M466&lt;&gt;"",P466="social-publication-v2"),"YES","NO"))</x:f>
      </x:c>
      <x:c r="AM466" s="9" t="str">
        <x:f>IF(A466="","",IF(AND(AK466="OK",J466="READY",F466&lt;&gt;"",G466&lt;&gt;"",K466&lt;&gt;"",S466="OK",OR(R466="PASS",R466="FAIL")),"YES","NO"))</x:f>
      </x:c>
      <x:c r="AN466" s="9" t="str">
        <x:f>IF(A466="","",F466&amp;" | "&amp;G466&amp;" | "&amp;H466&amp;" | "&amp;I466)</x:f>
      </x:c>
    </x:row>
    <x:row r="467" ht="33" customHeight="1">
      <x:c r="A467" s="3"/>
      <x:c r="B467" s="3"/>
      <x:c r="C467" s="3"/>
      <x:c r="D467" s="3"/>
      <x:c r="E467" s="3"/>
      <x:c r="F467" s="3"/>
      <x:c r="G467" s="3"/>
      <x:c r="H467" s="3"/>
      <x:c r="I467" s="3"/>
      <x:c r="J467" s="3"/>
      <x:c r="K467" s="3"/>
      <x:c r="L467" s="6"/>
      <x:c r="M467" s="6"/>
      <x:c r="N467" s="6"/>
      <x:c r="O467" s="6"/>
      <x:c r="P467" s="6"/>
      <x:c r="Q467" s="7"/>
      <x:c r="R467" s="7"/>
      <x:c r="S467" s="7"/>
      <x:c r="T467" s="7"/>
      <x:c r="U467" s="7"/>
      <x:c r="V467" s="7"/>
      <x:c r="W467" s="7"/>
      <x:c r="X467" s="7"/>
      <x:c r="Y467" s="7"/>
      <x:c r="Z467" s="7"/>
      <x:c r="AA467" s="7"/>
      <x:c r="AB467" s="7"/>
      <x:c r="AC467" s="7"/>
      <x:c r="AD467" s="7"/>
      <x:c r="AE467" s="3"/>
      <x:c r="AF467" s="3"/>
      <x:c r="AG467" s="3"/>
      <x:c r="AH467" s="3"/>
      <x:c r="AI467" s="3"/>
      <x:c r="AJ467" s="9" t="str">
        <x:f>IF(A467="","",A467&amp;"|"&amp;B467)</x:f>
      </x:c>
      <x:c r="AK467" s="9" t="str">
        <x:f>IF(A467="",IF(B467="","","MISSING_TEST_ID"),IF(B467="","MISSING_RUN_ID",IF(COUNTIFS($A$2:$A$501,A467,$B$2:$B$501,B467)&lt;&gt;1,"DUPLICATE_ID","OK")))</x:f>
      </x:c>
      <x:c r="AL467" s="9" t="str">
        <x:f>IF(A467="","",IF(AND(AK467="OK",J467="READY",F467&lt;&gt;"",G467&lt;&gt;"",K467&lt;&gt;"",OR(L467="PASS",L467="FAIL"),M467&lt;&gt;"",P467="social-publication-v2"),"YES","NO"))</x:f>
      </x:c>
      <x:c r="AM467" s="9" t="str">
        <x:f>IF(A467="","",IF(AND(AK467="OK",J467="READY",F467&lt;&gt;"",G467&lt;&gt;"",K467&lt;&gt;"",S467="OK",OR(R467="PASS",R467="FAIL")),"YES","NO"))</x:f>
      </x:c>
      <x:c r="AN467" s="9" t="str">
        <x:f>IF(A467="","",F467&amp;" | "&amp;G467&amp;" | "&amp;H467&amp;" | "&amp;I467)</x:f>
      </x:c>
    </x:row>
    <x:row r="468" ht="33" customHeight="1">
      <x:c r="A468" s="3"/>
      <x:c r="B468" s="3"/>
      <x:c r="C468" s="3"/>
      <x:c r="D468" s="3"/>
      <x:c r="E468" s="3"/>
      <x:c r="F468" s="3"/>
      <x:c r="G468" s="3"/>
      <x:c r="H468" s="3"/>
      <x:c r="I468" s="3"/>
      <x:c r="J468" s="3"/>
      <x:c r="K468" s="3"/>
      <x:c r="L468" s="6"/>
      <x:c r="M468" s="6"/>
      <x:c r="N468" s="6"/>
      <x:c r="O468" s="6"/>
      <x:c r="P468" s="6"/>
      <x:c r="Q468" s="7"/>
      <x:c r="R468" s="7"/>
      <x:c r="S468" s="7"/>
      <x:c r="T468" s="7"/>
      <x:c r="U468" s="7"/>
      <x:c r="V468" s="7"/>
      <x:c r="W468" s="7"/>
      <x:c r="X468" s="7"/>
      <x:c r="Y468" s="7"/>
      <x:c r="Z468" s="7"/>
      <x:c r="AA468" s="7"/>
      <x:c r="AB468" s="7"/>
      <x:c r="AC468" s="7"/>
      <x:c r="AD468" s="7"/>
      <x:c r="AE468" s="3"/>
      <x:c r="AF468" s="3"/>
      <x:c r="AG468" s="3"/>
      <x:c r="AH468" s="3"/>
      <x:c r="AI468" s="3"/>
      <x:c r="AJ468" s="9" t="str">
        <x:f>IF(A468="","",A468&amp;"|"&amp;B468)</x:f>
      </x:c>
      <x:c r="AK468" s="9" t="str">
        <x:f>IF(A468="",IF(B468="","","MISSING_TEST_ID"),IF(B468="","MISSING_RUN_ID",IF(COUNTIFS($A$2:$A$501,A468,$B$2:$B$501,B468)&lt;&gt;1,"DUPLICATE_ID","OK")))</x:f>
      </x:c>
      <x:c r="AL468" s="9" t="str">
        <x:f>IF(A468="","",IF(AND(AK468="OK",J468="READY",F468&lt;&gt;"",G468&lt;&gt;"",K468&lt;&gt;"",OR(L468="PASS",L468="FAIL"),M468&lt;&gt;"",P468="social-publication-v2"),"YES","NO"))</x:f>
      </x:c>
      <x:c r="AM468" s="9" t="str">
        <x:f>IF(A468="","",IF(AND(AK468="OK",J468="READY",F468&lt;&gt;"",G468&lt;&gt;"",K468&lt;&gt;"",S468="OK",OR(R468="PASS",R468="FAIL")),"YES","NO"))</x:f>
      </x:c>
      <x:c r="AN468" s="9" t="str">
        <x:f>IF(A468="","",F468&amp;" | "&amp;G468&amp;" | "&amp;H468&amp;" | "&amp;I468)</x:f>
      </x:c>
    </x:row>
    <x:row r="469" ht="33" customHeight="1">
      <x:c r="A469" s="3"/>
      <x:c r="B469" s="3"/>
      <x:c r="C469" s="3"/>
      <x:c r="D469" s="3"/>
      <x:c r="E469" s="3"/>
      <x:c r="F469" s="3"/>
      <x:c r="G469" s="3"/>
      <x:c r="H469" s="3"/>
      <x:c r="I469" s="3"/>
      <x:c r="J469" s="3"/>
      <x:c r="K469" s="3"/>
      <x:c r="L469" s="6"/>
      <x:c r="M469" s="6"/>
      <x:c r="N469" s="6"/>
      <x:c r="O469" s="6"/>
      <x:c r="P469" s="6"/>
      <x:c r="Q469" s="7"/>
      <x:c r="R469" s="7"/>
      <x:c r="S469" s="7"/>
      <x:c r="T469" s="7"/>
      <x:c r="U469" s="7"/>
      <x:c r="V469" s="7"/>
      <x:c r="W469" s="7"/>
      <x:c r="X469" s="7"/>
      <x:c r="Y469" s="7"/>
      <x:c r="Z469" s="7"/>
      <x:c r="AA469" s="7"/>
      <x:c r="AB469" s="7"/>
      <x:c r="AC469" s="7"/>
      <x:c r="AD469" s="7"/>
      <x:c r="AE469" s="3"/>
      <x:c r="AF469" s="3"/>
      <x:c r="AG469" s="3"/>
      <x:c r="AH469" s="3"/>
      <x:c r="AI469" s="3"/>
      <x:c r="AJ469" s="9" t="str">
        <x:f>IF(A469="","",A469&amp;"|"&amp;B469)</x:f>
      </x:c>
      <x:c r="AK469" s="9" t="str">
        <x:f>IF(A469="",IF(B469="","","MISSING_TEST_ID"),IF(B469="","MISSING_RUN_ID",IF(COUNTIFS($A$2:$A$501,A469,$B$2:$B$501,B469)&lt;&gt;1,"DUPLICATE_ID","OK")))</x:f>
      </x:c>
      <x:c r="AL469" s="9" t="str">
        <x:f>IF(A469="","",IF(AND(AK469="OK",J469="READY",F469&lt;&gt;"",G469&lt;&gt;"",K469&lt;&gt;"",OR(L469="PASS",L469="FAIL"),M469&lt;&gt;"",P469="social-publication-v2"),"YES","NO"))</x:f>
      </x:c>
      <x:c r="AM469" s="9" t="str">
        <x:f>IF(A469="","",IF(AND(AK469="OK",J469="READY",F469&lt;&gt;"",G469&lt;&gt;"",K469&lt;&gt;"",S469="OK",OR(R469="PASS",R469="FAIL")),"YES","NO"))</x:f>
      </x:c>
      <x:c r="AN469" s="9" t="str">
        <x:f>IF(A469="","",F469&amp;" | "&amp;G469&amp;" | "&amp;H469&amp;" | "&amp;I469)</x:f>
      </x:c>
    </x:row>
    <x:row r="470" ht="33" customHeight="1">
      <x:c r="A470" s="3"/>
      <x:c r="B470" s="3"/>
      <x:c r="C470" s="3"/>
      <x:c r="D470" s="3"/>
      <x:c r="E470" s="3"/>
      <x:c r="F470" s="3"/>
      <x:c r="G470" s="3"/>
      <x:c r="H470" s="3"/>
      <x:c r="I470" s="3"/>
      <x:c r="J470" s="3"/>
      <x:c r="K470" s="3"/>
      <x:c r="L470" s="6"/>
      <x:c r="M470" s="6"/>
      <x:c r="N470" s="6"/>
      <x:c r="O470" s="6"/>
      <x:c r="P470" s="6"/>
      <x:c r="Q470" s="7"/>
      <x:c r="R470" s="7"/>
      <x:c r="S470" s="7"/>
      <x:c r="T470" s="7"/>
      <x:c r="U470" s="7"/>
      <x:c r="V470" s="7"/>
      <x:c r="W470" s="7"/>
      <x:c r="X470" s="7"/>
      <x:c r="Y470" s="7"/>
      <x:c r="Z470" s="7"/>
      <x:c r="AA470" s="7"/>
      <x:c r="AB470" s="7"/>
      <x:c r="AC470" s="7"/>
      <x:c r="AD470" s="7"/>
      <x:c r="AE470" s="3"/>
      <x:c r="AF470" s="3"/>
      <x:c r="AG470" s="3"/>
      <x:c r="AH470" s="3"/>
      <x:c r="AI470" s="3"/>
      <x:c r="AJ470" s="9" t="str">
        <x:f>IF(A470="","",A470&amp;"|"&amp;B470)</x:f>
      </x:c>
      <x:c r="AK470" s="9" t="str">
        <x:f>IF(A470="",IF(B470="","","MISSING_TEST_ID"),IF(B470="","MISSING_RUN_ID",IF(COUNTIFS($A$2:$A$501,A470,$B$2:$B$501,B470)&lt;&gt;1,"DUPLICATE_ID","OK")))</x:f>
      </x:c>
      <x:c r="AL470" s="9" t="str">
        <x:f>IF(A470="","",IF(AND(AK470="OK",J470="READY",F470&lt;&gt;"",G470&lt;&gt;"",K470&lt;&gt;"",OR(L470="PASS",L470="FAIL"),M470&lt;&gt;"",P470="social-publication-v2"),"YES","NO"))</x:f>
      </x:c>
      <x:c r="AM470" s="9" t="str">
        <x:f>IF(A470="","",IF(AND(AK470="OK",J470="READY",F470&lt;&gt;"",G470&lt;&gt;"",K470&lt;&gt;"",S470="OK",OR(R470="PASS",R470="FAIL")),"YES","NO"))</x:f>
      </x:c>
      <x:c r="AN470" s="9" t="str">
        <x:f>IF(A470="","",F470&amp;" | "&amp;G470&amp;" | "&amp;H470&amp;" | "&amp;I470)</x:f>
      </x:c>
    </x:row>
    <x:row r="471" ht="33" customHeight="1">
      <x:c r="A471" s="3"/>
      <x:c r="B471" s="3"/>
      <x:c r="C471" s="3"/>
      <x:c r="D471" s="3"/>
      <x:c r="E471" s="3"/>
      <x:c r="F471" s="3"/>
      <x:c r="G471" s="3"/>
      <x:c r="H471" s="3"/>
      <x:c r="I471" s="3"/>
      <x:c r="J471" s="3"/>
      <x:c r="K471" s="3"/>
      <x:c r="L471" s="6"/>
      <x:c r="M471" s="6"/>
      <x:c r="N471" s="6"/>
      <x:c r="O471" s="6"/>
      <x:c r="P471" s="6"/>
      <x:c r="Q471" s="7"/>
      <x:c r="R471" s="7"/>
      <x:c r="S471" s="7"/>
      <x:c r="T471" s="7"/>
      <x:c r="U471" s="7"/>
      <x:c r="V471" s="7"/>
      <x:c r="W471" s="7"/>
      <x:c r="X471" s="7"/>
      <x:c r="Y471" s="7"/>
      <x:c r="Z471" s="7"/>
      <x:c r="AA471" s="7"/>
      <x:c r="AB471" s="7"/>
      <x:c r="AC471" s="7"/>
      <x:c r="AD471" s="7"/>
      <x:c r="AE471" s="3"/>
      <x:c r="AF471" s="3"/>
      <x:c r="AG471" s="3"/>
      <x:c r="AH471" s="3"/>
      <x:c r="AI471" s="3"/>
      <x:c r="AJ471" s="9" t="str">
        <x:f>IF(A471="","",A471&amp;"|"&amp;B471)</x:f>
      </x:c>
      <x:c r="AK471" s="9" t="str">
        <x:f>IF(A471="",IF(B471="","","MISSING_TEST_ID"),IF(B471="","MISSING_RUN_ID",IF(COUNTIFS($A$2:$A$501,A471,$B$2:$B$501,B471)&lt;&gt;1,"DUPLICATE_ID","OK")))</x:f>
      </x:c>
      <x:c r="AL471" s="9" t="str">
        <x:f>IF(A471="","",IF(AND(AK471="OK",J471="READY",F471&lt;&gt;"",G471&lt;&gt;"",K471&lt;&gt;"",OR(L471="PASS",L471="FAIL"),M471&lt;&gt;"",P471="social-publication-v2"),"YES","NO"))</x:f>
      </x:c>
      <x:c r="AM471" s="9" t="str">
        <x:f>IF(A471="","",IF(AND(AK471="OK",J471="READY",F471&lt;&gt;"",G471&lt;&gt;"",K471&lt;&gt;"",S471="OK",OR(R471="PASS",R471="FAIL")),"YES","NO"))</x:f>
      </x:c>
      <x:c r="AN471" s="9" t="str">
        <x:f>IF(A471="","",F471&amp;" | "&amp;G471&amp;" | "&amp;H471&amp;" | "&amp;I471)</x:f>
      </x:c>
    </x:row>
    <x:row r="472" ht="33" customHeight="1">
      <x:c r="A472" s="3"/>
      <x:c r="B472" s="3"/>
      <x:c r="C472" s="3"/>
      <x:c r="D472" s="3"/>
      <x:c r="E472" s="3"/>
      <x:c r="F472" s="3"/>
      <x:c r="G472" s="3"/>
      <x:c r="H472" s="3"/>
      <x:c r="I472" s="3"/>
      <x:c r="J472" s="3"/>
      <x:c r="K472" s="3"/>
      <x:c r="L472" s="6"/>
      <x:c r="M472" s="6"/>
      <x:c r="N472" s="6"/>
      <x:c r="O472" s="6"/>
      <x:c r="P472" s="6"/>
      <x:c r="Q472" s="7"/>
      <x:c r="R472" s="7"/>
      <x:c r="S472" s="7"/>
      <x:c r="T472" s="7"/>
      <x:c r="U472" s="7"/>
      <x:c r="V472" s="7"/>
      <x:c r="W472" s="7"/>
      <x:c r="X472" s="7"/>
      <x:c r="Y472" s="7"/>
      <x:c r="Z472" s="7"/>
      <x:c r="AA472" s="7"/>
      <x:c r="AB472" s="7"/>
      <x:c r="AC472" s="7"/>
      <x:c r="AD472" s="7"/>
      <x:c r="AE472" s="3"/>
      <x:c r="AF472" s="3"/>
      <x:c r="AG472" s="3"/>
      <x:c r="AH472" s="3"/>
      <x:c r="AI472" s="3"/>
      <x:c r="AJ472" s="9" t="str">
        <x:f>IF(A472="","",A472&amp;"|"&amp;B472)</x:f>
      </x:c>
      <x:c r="AK472" s="9" t="str">
        <x:f>IF(A472="",IF(B472="","","MISSING_TEST_ID"),IF(B472="","MISSING_RUN_ID",IF(COUNTIFS($A$2:$A$501,A472,$B$2:$B$501,B472)&lt;&gt;1,"DUPLICATE_ID","OK")))</x:f>
      </x:c>
      <x:c r="AL472" s="9" t="str">
        <x:f>IF(A472="","",IF(AND(AK472="OK",J472="READY",F472&lt;&gt;"",G472&lt;&gt;"",K472&lt;&gt;"",OR(L472="PASS",L472="FAIL"),M472&lt;&gt;"",P472="social-publication-v2"),"YES","NO"))</x:f>
      </x:c>
      <x:c r="AM472" s="9" t="str">
        <x:f>IF(A472="","",IF(AND(AK472="OK",J472="READY",F472&lt;&gt;"",G472&lt;&gt;"",K472&lt;&gt;"",S472="OK",OR(R472="PASS",R472="FAIL")),"YES","NO"))</x:f>
      </x:c>
      <x:c r="AN472" s="9" t="str">
        <x:f>IF(A472="","",F472&amp;" | "&amp;G472&amp;" | "&amp;H472&amp;" | "&amp;I472)</x:f>
      </x:c>
    </x:row>
    <x:row r="473" ht="33" customHeight="1">
      <x:c r="A473" s="3"/>
      <x:c r="B473" s="3"/>
      <x:c r="C473" s="3"/>
      <x:c r="D473" s="3"/>
      <x:c r="E473" s="3"/>
      <x:c r="F473" s="3"/>
      <x:c r="G473" s="3"/>
      <x:c r="H473" s="3"/>
      <x:c r="I473" s="3"/>
      <x:c r="J473" s="3"/>
      <x:c r="K473" s="3"/>
      <x:c r="L473" s="6"/>
      <x:c r="M473" s="6"/>
      <x:c r="N473" s="6"/>
      <x:c r="O473" s="6"/>
      <x:c r="P473" s="6"/>
      <x:c r="Q473" s="7"/>
      <x:c r="R473" s="7"/>
      <x:c r="S473" s="7"/>
      <x:c r="T473" s="7"/>
      <x:c r="U473" s="7"/>
      <x:c r="V473" s="7"/>
      <x:c r="W473" s="7"/>
      <x:c r="X473" s="7"/>
      <x:c r="Y473" s="7"/>
      <x:c r="Z473" s="7"/>
      <x:c r="AA473" s="7"/>
      <x:c r="AB473" s="7"/>
      <x:c r="AC473" s="7"/>
      <x:c r="AD473" s="7"/>
      <x:c r="AE473" s="3"/>
      <x:c r="AF473" s="3"/>
      <x:c r="AG473" s="3"/>
      <x:c r="AH473" s="3"/>
      <x:c r="AI473" s="3"/>
      <x:c r="AJ473" s="9" t="str">
        <x:f>IF(A473="","",A473&amp;"|"&amp;B473)</x:f>
      </x:c>
      <x:c r="AK473" s="9" t="str">
        <x:f>IF(A473="",IF(B473="","","MISSING_TEST_ID"),IF(B473="","MISSING_RUN_ID",IF(COUNTIFS($A$2:$A$501,A473,$B$2:$B$501,B473)&lt;&gt;1,"DUPLICATE_ID","OK")))</x:f>
      </x:c>
      <x:c r="AL473" s="9" t="str">
        <x:f>IF(A473="","",IF(AND(AK473="OK",J473="READY",F473&lt;&gt;"",G473&lt;&gt;"",K473&lt;&gt;"",OR(L473="PASS",L473="FAIL"),M473&lt;&gt;"",P473="social-publication-v2"),"YES","NO"))</x:f>
      </x:c>
      <x:c r="AM473" s="9" t="str">
        <x:f>IF(A473="","",IF(AND(AK473="OK",J473="READY",F473&lt;&gt;"",G473&lt;&gt;"",K473&lt;&gt;"",S473="OK",OR(R473="PASS",R473="FAIL")),"YES","NO"))</x:f>
      </x:c>
      <x:c r="AN473" s="9" t="str">
        <x:f>IF(A473="","",F473&amp;" | "&amp;G473&amp;" | "&amp;H473&amp;" | "&amp;I473)</x:f>
      </x:c>
    </x:row>
    <x:row r="474" ht="33" customHeight="1">
      <x:c r="A474" s="3"/>
      <x:c r="B474" s="3"/>
      <x:c r="C474" s="3"/>
      <x:c r="D474" s="3"/>
      <x:c r="E474" s="3"/>
      <x:c r="F474" s="3"/>
      <x:c r="G474" s="3"/>
      <x:c r="H474" s="3"/>
      <x:c r="I474" s="3"/>
      <x:c r="J474" s="3"/>
      <x:c r="K474" s="3"/>
      <x:c r="L474" s="6"/>
      <x:c r="M474" s="6"/>
      <x:c r="N474" s="6"/>
      <x:c r="O474" s="6"/>
      <x:c r="P474" s="6"/>
      <x:c r="Q474" s="7"/>
      <x:c r="R474" s="7"/>
      <x:c r="S474" s="7"/>
      <x:c r="T474" s="7"/>
      <x:c r="U474" s="7"/>
      <x:c r="V474" s="7"/>
      <x:c r="W474" s="7"/>
      <x:c r="X474" s="7"/>
      <x:c r="Y474" s="7"/>
      <x:c r="Z474" s="7"/>
      <x:c r="AA474" s="7"/>
      <x:c r="AB474" s="7"/>
      <x:c r="AC474" s="7"/>
      <x:c r="AD474" s="7"/>
      <x:c r="AE474" s="3"/>
      <x:c r="AF474" s="3"/>
      <x:c r="AG474" s="3"/>
      <x:c r="AH474" s="3"/>
      <x:c r="AI474" s="3"/>
      <x:c r="AJ474" s="9" t="str">
        <x:f>IF(A474="","",A474&amp;"|"&amp;B474)</x:f>
      </x:c>
      <x:c r="AK474" s="9" t="str">
        <x:f>IF(A474="",IF(B474="","","MISSING_TEST_ID"),IF(B474="","MISSING_RUN_ID",IF(COUNTIFS($A$2:$A$501,A474,$B$2:$B$501,B474)&lt;&gt;1,"DUPLICATE_ID","OK")))</x:f>
      </x:c>
      <x:c r="AL474" s="9" t="str">
        <x:f>IF(A474="","",IF(AND(AK474="OK",J474="READY",F474&lt;&gt;"",G474&lt;&gt;"",K474&lt;&gt;"",OR(L474="PASS",L474="FAIL"),M474&lt;&gt;"",P474="social-publication-v2"),"YES","NO"))</x:f>
      </x:c>
      <x:c r="AM474" s="9" t="str">
        <x:f>IF(A474="","",IF(AND(AK474="OK",J474="READY",F474&lt;&gt;"",G474&lt;&gt;"",K474&lt;&gt;"",S474="OK",OR(R474="PASS",R474="FAIL")),"YES","NO"))</x:f>
      </x:c>
      <x:c r="AN474" s="9" t="str">
        <x:f>IF(A474="","",F474&amp;" | "&amp;G474&amp;" | "&amp;H474&amp;" | "&amp;I474)</x:f>
      </x:c>
    </x:row>
    <x:row r="475" ht="33" customHeight="1">
      <x:c r="A475" s="3"/>
      <x:c r="B475" s="3"/>
      <x:c r="C475" s="3"/>
      <x:c r="D475" s="3"/>
      <x:c r="E475" s="3"/>
      <x:c r="F475" s="3"/>
      <x:c r="G475" s="3"/>
      <x:c r="H475" s="3"/>
      <x:c r="I475" s="3"/>
      <x:c r="J475" s="3"/>
      <x:c r="K475" s="3"/>
      <x:c r="L475" s="6"/>
      <x:c r="M475" s="6"/>
      <x:c r="N475" s="6"/>
      <x:c r="O475" s="6"/>
      <x:c r="P475" s="6"/>
      <x:c r="Q475" s="7"/>
      <x:c r="R475" s="7"/>
      <x:c r="S475" s="7"/>
      <x:c r="T475" s="7"/>
      <x:c r="U475" s="7"/>
      <x:c r="V475" s="7"/>
      <x:c r="W475" s="7"/>
      <x:c r="X475" s="7"/>
      <x:c r="Y475" s="7"/>
      <x:c r="Z475" s="7"/>
      <x:c r="AA475" s="7"/>
      <x:c r="AB475" s="7"/>
      <x:c r="AC475" s="7"/>
      <x:c r="AD475" s="7"/>
      <x:c r="AE475" s="3"/>
      <x:c r="AF475" s="3"/>
      <x:c r="AG475" s="3"/>
      <x:c r="AH475" s="3"/>
      <x:c r="AI475" s="3"/>
      <x:c r="AJ475" s="9" t="str">
        <x:f>IF(A475="","",A475&amp;"|"&amp;B475)</x:f>
      </x:c>
      <x:c r="AK475" s="9" t="str">
        <x:f>IF(A475="",IF(B475="","","MISSING_TEST_ID"),IF(B475="","MISSING_RUN_ID",IF(COUNTIFS($A$2:$A$501,A475,$B$2:$B$501,B475)&lt;&gt;1,"DUPLICATE_ID","OK")))</x:f>
      </x:c>
      <x:c r="AL475" s="9" t="str">
        <x:f>IF(A475="","",IF(AND(AK475="OK",J475="READY",F475&lt;&gt;"",G475&lt;&gt;"",K475&lt;&gt;"",OR(L475="PASS",L475="FAIL"),M475&lt;&gt;"",P475="social-publication-v2"),"YES","NO"))</x:f>
      </x:c>
      <x:c r="AM475" s="9" t="str">
        <x:f>IF(A475="","",IF(AND(AK475="OK",J475="READY",F475&lt;&gt;"",G475&lt;&gt;"",K475&lt;&gt;"",S475="OK",OR(R475="PASS",R475="FAIL")),"YES","NO"))</x:f>
      </x:c>
      <x:c r="AN475" s="9" t="str">
        <x:f>IF(A475="","",F475&amp;" | "&amp;G475&amp;" | "&amp;H475&amp;" | "&amp;I475)</x:f>
      </x:c>
    </x:row>
    <x:row r="476" ht="33" customHeight="1">
      <x:c r="A476" s="3"/>
      <x:c r="B476" s="3"/>
      <x:c r="C476" s="3"/>
      <x:c r="D476" s="3"/>
      <x:c r="E476" s="3"/>
      <x:c r="F476" s="3"/>
      <x:c r="G476" s="3"/>
      <x:c r="H476" s="3"/>
      <x:c r="I476" s="3"/>
      <x:c r="J476" s="3"/>
      <x:c r="K476" s="3"/>
      <x:c r="L476" s="6"/>
      <x:c r="M476" s="6"/>
      <x:c r="N476" s="6"/>
      <x:c r="O476" s="6"/>
      <x:c r="P476" s="6"/>
      <x:c r="Q476" s="7"/>
      <x:c r="R476" s="7"/>
      <x:c r="S476" s="7"/>
      <x:c r="T476" s="7"/>
      <x:c r="U476" s="7"/>
      <x:c r="V476" s="7"/>
      <x:c r="W476" s="7"/>
      <x:c r="X476" s="7"/>
      <x:c r="Y476" s="7"/>
      <x:c r="Z476" s="7"/>
      <x:c r="AA476" s="7"/>
      <x:c r="AB476" s="7"/>
      <x:c r="AC476" s="7"/>
      <x:c r="AD476" s="7"/>
      <x:c r="AE476" s="3"/>
      <x:c r="AF476" s="3"/>
      <x:c r="AG476" s="3"/>
      <x:c r="AH476" s="3"/>
      <x:c r="AI476" s="3"/>
      <x:c r="AJ476" s="9" t="str">
        <x:f>IF(A476="","",A476&amp;"|"&amp;B476)</x:f>
      </x:c>
      <x:c r="AK476" s="9" t="str">
        <x:f>IF(A476="",IF(B476="","","MISSING_TEST_ID"),IF(B476="","MISSING_RUN_ID",IF(COUNTIFS($A$2:$A$501,A476,$B$2:$B$501,B476)&lt;&gt;1,"DUPLICATE_ID","OK")))</x:f>
      </x:c>
      <x:c r="AL476" s="9" t="str">
        <x:f>IF(A476="","",IF(AND(AK476="OK",J476="READY",F476&lt;&gt;"",G476&lt;&gt;"",K476&lt;&gt;"",OR(L476="PASS",L476="FAIL"),M476&lt;&gt;"",P476="social-publication-v2"),"YES","NO"))</x:f>
      </x:c>
      <x:c r="AM476" s="9" t="str">
        <x:f>IF(A476="","",IF(AND(AK476="OK",J476="READY",F476&lt;&gt;"",G476&lt;&gt;"",K476&lt;&gt;"",S476="OK",OR(R476="PASS",R476="FAIL")),"YES","NO"))</x:f>
      </x:c>
      <x:c r="AN476" s="9" t="str">
        <x:f>IF(A476="","",F476&amp;" | "&amp;G476&amp;" | "&amp;H476&amp;" | "&amp;I476)</x:f>
      </x:c>
    </x:row>
    <x:row r="477" ht="33" customHeight="1">
      <x:c r="A477" s="3"/>
      <x:c r="B477" s="3"/>
      <x:c r="C477" s="3"/>
      <x:c r="D477" s="3"/>
      <x:c r="E477" s="3"/>
      <x:c r="F477" s="3"/>
      <x:c r="G477" s="3"/>
      <x:c r="H477" s="3"/>
      <x:c r="I477" s="3"/>
      <x:c r="J477" s="3"/>
      <x:c r="K477" s="3"/>
      <x:c r="L477" s="6"/>
      <x:c r="M477" s="6"/>
      <x:c r="N477" s="6"/>
      <x:c r="O477" s="6"/>
      <x:c r="P477" s="6"/>
      <x:c r="Q477" s="7"/>
      <x:c r="R477" s="7"/>
      <x:c r="S477" s="7"/>
      <x:c r="T477" s="7"/>
      <x:c r="U477" s="7"/>
      <x:c r="V477" s="7"/>
      <x:c r="W477" s="7"/>
      <x:c r="X477" s="7"/>
      <x:c r="Y477" s="7"/>
      <x:c r="Z477" s="7"/>
      <x:c r="AA477" s="7"/>
      <x:c r="AB477" s="7"/>
      <x:c r="AC477" s="7"/>
      <x:c r="AD477" s="7"/>
      <x:c r="AE477" s="3"/>
      <x:c r="AF477" s="3"/>
      <x:c r="AG477" s="3"/>
      <x:c r="AH477" s="3"/>
      <x:c r="AI477" s="3"/>
      <x:c r="AJ477" s="9" t="str">
        <x:f>IF(A477="","",A477&amp;"|"&amp;B477)</x:f>
      </x:c>
      <x:c r="AK477" s="9" t="str">
        <x:f>IF(A477="",IF(B477="","","MISSING_TEST_ID"),IF(B477="","MISSING_RUN_ID",IF(COUNTIFS($A$2:$A$501,A477,$B$2:$B$501,B477)&lt;&gt;1,"DUPLICATE_ID","OK")))</x:f>
      </x:c>
      <x:c r="AL477" s="9" t="str">
        <x:f>IF(A477="","",IF(AND(AK477="OK",J477="READY",F477&lt;&gt;"",G477&lt;&gt;"",K477&lt;&gt;"",OR(L477="PASS",L477="FAIL"),M477&lt;&gt;"",P477="social-publication-v2"),"YES","NO"))</x:f>
      </x:c>
      <x:c r="AM477" s="9" t="str">
        <x:f>IF(A477="","",IF(AND(AK477="OK",J477="READY",F477&lt;&gt;"",G477&lt;&gt;"",K477&lt;&gt;"",S477="OK",OR(R477="PASS",R477="FAIL")),"YES","NO"))</x:f>
      </x:c>
      <x:c r="AN477" s="9" t="str">
        <x:f>IF(A477="","",F477&amp;" | "&amp;G477&amp;" | "&amp;H477&amp;" | "&amp;I477)</x:f>
      </x:c>
    </x:row>
    <x:row r="478" ht="33" customHeight="1">
      <x:c r="A478" s="3"/>
      <x:c r="B478" s="3"/>
      <x:c r="C478" s="3"/>
      <x:c r="D478" s="3"/>
      <x:c r="E478" s="3"/>
      <x:c r="F478" s="3"/>
      <x:c r="G478" s="3"/>
      <x:c r="H478" s="3"/>
      <x:c r="I478" s="3"/>
      <x:c r="J478" s="3"/>
      <x:c r="K478" s="3"/>
      <x:c r="L478" s="6"/>
      <x:c r="M478" s="6"/>
      <x:c r="N478" s="6"/>
      <x:c r="O478" s="6"/>
      <x:c r="P478" s="6"/>
      <x:c r="Q478" s="7"/>
      <x:c r="R478" s="7"/>
      <x:c r="S478" s="7"/>
      <x:c r="T478" s="7"/>
      <x:c r="U478" s="7"/>
      <x:c r="V478" s="7"/>
      <x:c r="W478" s="7"/>
      <x:c r="X478" s="7"/>
      <x:c r="Y478" s="7"/>
      <x:c r="Z478" s="7"/>
      <x:c r="AA478" s="7"/>
      <x:c r="AB478" s="7"/>
      <x:c r="AC478" s="7"/>
      <x:c r="AD478" s="7"/>
      <x:c r="AE478" s="3"/>
      <x:c r="AF478" s="3"/>
      <x:c r="AG478" s="3"/>
      <x:c r="AH478" s="3"/>
      <x:c r="AI478" s="3"/>
      <x:c r="AJ478" s="9" t="str">
        <x:f>IF(A478="","",A478&amp;"|"&amp;B478)</x:f>
      </x:c>
      <x:c r="AK478" s="9" t="str">
        <x:f>IF(A478="",IF(B478="","","MISSING_TEST_ID"),IF(B478="","MISSING_RUN_ID",IF(COUNTIFS($A$2:$A$501,A478,$B$2:$B$501,B478)&lt;&gt;1,"DUPLICATE_ID","OK")))</x:f>
      </x:c>
      <x:c r="AL478" s="9" t="str">
        <x:f>IF(A478="","",IF(AND(AK478="OK",J478="READY",F478&lt;&gt;"",G478&lt;&gt;"",K478&lt;&gt;"",OR(L478="PASS",L478="FAIL"),M478&lt;&gt;"",P478="social-publication-v2"),"YES","NO"))</x:f>
      </x:c>
      <x:c r="AM478" s="9" t="str">
        <x:f>IF(A478="","",IF(AND(AK478="OK",J478="READY",F478&lt;&gt;"",G478&lt;&gt;"",K478&lt;&gt;"",S478="OK",OR(R478="PASS",R478="FAIL")),"YES","NO"))</x:f>
      </x:c>
      <x:c r="AN478" s="9" t="str">
        <x:f>IF(A478="","",F478&amp;" | "&amp;G478&amp;" | "&amp;H478&amp;" | "&amp;I478)</x:f>
      </x:c>
    </x:row>
    <x:row r="479" ht="33" customHeight="1">
      <x:c r="A479" s="3"/>
      <x:c r="B479" s="3"/>
      <x:c r="C479" s="3"/>
      <x:c r="D479" s="3"/>
      <x:c r="E479" s="3"/>
      <x:c r="F479" s="3"/>
      <x:c r="G479" s="3"/>
      <x:c r="H479" s="3"/>
      <x:c r="I479" s="3"/>
      <x:c r="J479" s="3"/>
      <x:c r="K479" s="3"/>
      <x:c r="L479" s="6"/>
      <x:c r="M479" s="6"/>
      <x:c r="N479" s="6"/>
      <x:c r="O479" s="6"/>
      <x:c r="P479" s="6"/>
      <x:c r="Q479" s="7"/>
      <x:c r="R479" s="7"/>
      <x:c r="S479" s="7"/>
      <x:c r="T479" s="7"/>
      <x:c r="U479" s="7"/>
      <x:c r="V479" s="7"/>
      <x:c r="W479" s="7"/>
      <x:c r="X479" s="7"/>
      <x:c r="Y479" s="7"/>
      <x:c r="Z479" s="7"/>
      <x:c r="AA479" s="7"/>
      <x:c r="AB479" s="7"/>
      <x:c r="AC479" s="7"/>
      <x:c r="AD479" s="7"/>
      <x:c r="AE479" s="3"/>
      <x:c r="AF479" s="3"/>
      <x:c r="AG479" s="3"/>
      <x:c r="AH479" s="3"/>
      <x:c r="AI479" s="3"/>
      <x:c r="AJ479" s="9" t="str">
        <x:f>IF(A479="","",A479&amp;"|"&amp;B479)</x:f>
      </x:c>
      <x:c r="AK479" s="9" t="str">
        <x:f>IF(A479="",IF(B479="","","MISSING_TEST_ID"),IF(B479="","MISSING_RUN_ID",IF(COUNTIFS($A$2:$A$501,A479,$B$2:$B$501,B479)&lt;&gt;1,"DUPLICATE_ID","OK")))</x:f>
      </x:c>
      <x:c r="AL479" s="9" t="str">
        <x:f>IF(A479="","",IF(AND(AK479="OK",J479="READY",F479&lt;&gt;"",G479&lt;&gt;"",K479&lt;&gt;"",OR(L479="PASS",L479="FAIL"),M479&lt;&gt;"",P479="social-publication-v2"),"YES","NO"))</x:f>
      </x:c>
      <x:c r="AM479" s="9" t="str">
        <x:f>IF(A479="","",IF(AND(AK479="OK",J479="READY",F479&lt;&gt;"",G479&lt;&gt;"",K479&lt;&gt;"",S479="OK",OR(R479="PASS",R479="FAIL")),"YES","NO"))</x:f>
      </x:c>
      <x:c r="AN479" s="9" t="str">
        <x:f>IF(A479="","",F479&amp;" | "&amp;G479&amp;" | "&amp;H479&amp;" | "&amp;I479)</x:f>
      </x:c>
    </x:row>
    <x:row r="480" ht="33" customHeight="1">
      <x:c r="A480" s="3"/>
      <x:c r="B480" s="3"/>
      <x:c r="C480" s="3"/>
      <x:c r="D480" s="3"/>
      <x:c r="E480" s="3"/>
      <x:c r="F480" s="3"/>
      <x:c r="G480" s="3"/>
      <x:c r="H480" s="3"/>
      <x:c r="I480" s="3"/>
      <x:c r="J480" s="3"/>
      <x:c r="K480" s="3"/>
      <x:c r="L480" s="6"/>
      <x:c r="M480" s="6"/>
      <x:c r="N480" s="6"/>
      <x:c r="O480" s="6"/>
      <x:c r="P480" s="6"/>
      <x:c r="Q480" s="7"/>
      <x:c r="R480" s="7"/>
      <x:c r="S480" s="7"/>
      <x:c r="T480" s="7"/>
      <x:c r="U480" s="7"/>
      <x:c r="V480" s="7"/>
      <x:c r="W480" s="7"/>
      <x:c r="X480" s="7"/>
      <x:c r="Y480" s="7"/>
      <x:c r="Z480" s="7"/>
      <x:c r="AA480" s="7"/>
      <x:c r="AB480" s="7"/>
      <x:c r="AC480" s="7"/>
      <x:c r="AD480" s="7"/>
      <x:c r="AE480" s="3"/>
      <x:c r="AF480" s="3"/>
      <x:c r="AG480" s="3"/>
      <x:c r="AH480" s="3"/>
      <x:c r="AI480" s="3"/>
      <x:c r="AJ480" s="9" t="str">
        <x:f>IF(A480="","",A480&amp;"|"&amp;B480)</x:f>
      </x:c>
      <x:c r="AK480" s="9" t="str">
        <x:f>IF(A480="",IF(B480="","","MISSING_TEST_ID"),IF(B480="","MISSING_RUN_ID",IF(COUNTIFS($A$2:$A$501,A480,$B$2:$B$501,B480)&lt;&gt;1,"DUPLICATE_ID","OK")))</x:f>
      </x:c>
      <x:c r="AL480" s="9" t="str">
        <x:f>IF(A480="","",IF(AND(AK480="OK",J480="READY",F480&lt;&gt;"",G480&lt;&gt;"",K480&lt;&gt;"",OR(L480="PASS",L480="FAIL"),M480&lt;&gt;"",P480="social-publication-v2"),"YES","NO"))</x:f>
      </x:c>
      <x:c r="AM480" s="9" t="str">
        <x:f>IF(A480="","",IF(AND(AK480="OK",J480="READY",F480&lt;&gt;"",G480&lt;&gt;"",K480&lt;&gt;"",S480="OK",OR(R480="PASS",R480="FAIL")),"YES","NO"))</x:f>
      </x:c>
      <x:c r="AN480" s="9" t="str">
        <x:f>IF(A480="","",F480&amp;" | "&amp;G480&amp;" | "&amp;H480&amp;" | "&amp;I480)</x:f>
      </x:c>
    </x:row>
    <x:row r="481" ht="33" customHeight="1">
      <x:c r="A481" s="3"/>
      <x:c r="B481" s="3"/>
      <x:c r="C481" s="3"/>
      <x:c r="D481" s="3"/>
      <x:c r="E481" s="3"/>
      <x:c r="F481" s="3"/>
      <x:c r="G481" s="3"/>
      <x:c r="H481" s="3"/>
      <x:c r="I481" s="3"/>
      <x:c r="J481" s="3"/>
      <x:c r="K481" s="3"/>
      <x:c r="L481" s="6"/>
      <x:c r="M481" s="6"/>
      <x:c r="N481" s="6"/>
      <x:c r="O481" s="6"/>
      <x:c r="P481" s="6"/>
      <x:c r="Q481" s="7"/>
      <x:c r="R481" s="7"/>
      <x:c r="S481" s="7"/>
      <x:c r="T481" s="7"/>
      <x:c r="U481" s="7"/>
      <x:c r="V481" s="7"/>
      <x:c r="W481" s="7"/>
      <x:c r="X481" s="7"/>
      <x:c r="Y481" s="7"/>
      <x:c r="Z481" s="7"/>
      <x:c r="AA481" s="7"/>
      <x:c r="AB481" s="7"/>
      <x:c r="AC481" s="7"/>
      <x:c r="AD481" s="7"/>
      <x:c r="AE481" s="3"/>
      <x:c r="AF481" s="3"/>
      <x:c r="AG481" s="3"/>
      <x:c r="AH481" s="3"/>
      <x:c r="AI481" s="3"/>
      <x:c r="AJ481" s="9" t="str">
        <x:f>IF(A481="","",A481&amp;"|"&amp;B481)</x:f>
      </x:c>
      <x:c r="AK481" s="9" t="str">
        <x:f>IF(A481="",IF(B481="","","MISSING_TEST_ID"),IF(B481="","MISSING_RUN_ID",IF(COUNTIFS($A$2:$A$501,A481,$B$2:$B$501,B481)&lt;&gt;1,"DUPLICATE_ID","OK")))</x:f>
      </x:c>
      <x:c r="AL481" s="9" t="str">
        <x:f>IF(A481="","",IF(AND(AK481="OK",J481="READY",F481&lt;&gt;"",G481&lt;&gt;"",K481&lt;&gt;"",OR(L481="PASS",L481="FAIL"),M481&lt;&gt;"",P481="social-publication-v2"),"YES","NO"))</x:f>
      </x:c>
      <x:c r="AM481" s="9" t="str">
        <x:f>IF(A481="","",IF(AND(AK481="OK",J481="READY",F481&lt;&gt;"",G481&lt;&gt;"",K481&lt;&gt;"",S481="OK",OR(R481="PASS",R481="FAIL")),"YES","NO"))</x:f>
      </x:c>
      <x:c r="AN481" s="9" t="str">
        <x:f>IF(A481="","",F481&amp;" | "&amp;G481&amp;" | "&amp;H481&amp;" | "&amp;I481)</x:f>
      </x:c>
    </x:row>
    <x:row r="482" ht="33" customHeight="1">
      <x:c r="A482" s="3"/>
      <x:c r="B482" s="3"/>
      <x:c r="C482" s="3"/>
      <x:c r="D482" s="3"/>
      <x:c r="E482" s="3"/>
      <x:c r="F482" s="3"/>
      <x:c r="G482" s="3"/>
      <x:c r="H482" s="3"/>
      <x:c r="I482" s="3"/>
      <x:c r="J482" s="3"/>
      <x:c r="K482" s="3"/>
      <x:c r="L482" s="6"/>
      <x:c r="M482" s="6"/>
      <x:c r="N482" s="6"/>
      <x:c r="O482" s="6"/>
      <x:c r="P482" s="6"/>
      <x:c r="Q482" s="7"/>
      <x:c r="R482" s="7"/>
      <x:c r="S482" s="7"/>
      <x:c r="T482" s="7"/>
      <x:c r="U482" s="7"/>
      <x:c r="V482" s="7"/>
      <x:c r="W482" s="7"/>
      <x:c r="X482" s="7"/>
      <x:c r="Y482" s="7"/>
      <x:c r="Z482" s="7"/>
      <x:c r="AA482" s="7"/>
      <x:c r="AB482" s="7"/>
      <x:c r="AC482" s="7"/>
      <x:c r="AD482" s="7"/>
      <x:c r="AE482" s="3"/>
      <x:c r="AF482" s="3"/>
      <x:c r="AG482" s="3"/>
      <x:c r="AH482" s="3"/>
      <x:c r="AI482" s="3"/>
      <x:c r="AJ482" s="9" t="str">
        <x:f>IF(A482="","",A482&amp;"|"&amp;B482)</x:f>
      </x:c>
      <x:c r="AK482" s="9" t="str">
        <x:f>IF(A482="",IF(B482="","","MISSING_TEST_ID"),IF(B482="","MISSING_RUN_ID",IF(COUNTIFS($A$2:$A$501,A482,$B$2:$B$501,B482)&lt;&gt;1,"DUPLICATE_ID","OK")))</x:f>
      </x:c>
      <x:c r="AL482" s="9" t="str">
        <x:f>IF(A482="","",IF(AND(AK482="OK",J482="READY",F482&lt;&gt;"",G482&lt;&gt;"",K482&lt;&gt;"",OR(L482="PASS",L482="FAIL"),M482&lt;&gt;"",P482="social-publication-v2"),"YES","NO"))</x:f>
      </x:c>
      <x:c r="AM482" s="9" t="str">
        <x:f>IF(A482="","",IF(AND(AK482="OK",J482="READY",F482&lt;&gt;"",G482&lt;&gt;"",K482&lt;&gt;"",S482="OK",OR(R482="PASS",R482="FAIL")),"YES","NO"))</x:f>
      </x:c>
      <x:c r="AN482" s="9" t="str">
        <x:f>IF(A482="","",F482&amp;" | "&amp;G482&amp;" | "&amp;H482&amp;" | "&amp;I482)</x:f>
      </x:c>
    </x:row>
    <x:row r="483" ht="33" customHeight="1">
      <x:c r="A483" s="3"/>
      <x:c r="B483" s="3"/>
      <x:c r="C483" s="3"/>
      <x:c r="D483" s="3"/>
      <x:c r="E483" s="3"/>
      <x:c r="F483" s="3"/>
      <x:c r="G483" s="3"/>
      <x:c r="H483" s="3"/>
      <x:c r="I483" s="3"/>
      <x:c r="J483" s="3"/>
      <x:c r="K483" s="3"/>
      <x:c r="L483" s="6"/>
      <x:c r="M483" s="6"/>
      <x:c r="N483" s="6"/>
      <x:c r="O483" s="6"/>
      <x:c r="P483" s="6"/>
      <x:c r="Q483" s="7"/>
      <x:c r="R483" s="7"/>
      <x:c r="S483" s="7"/>
      <x:c r="T483" s="7"/>
      <x:c r="U483" s="7"/>
      <x:c r="V483" s="7"/>
      <x:c r="W483" s="7"/>
      <x:c r="X483" s="7"/>
      <x:c r="Y483" s="7"/>
      <x:c r="Z483" s="7"/>
      <x:c r="AA483" s="7"/>
      <x:c r="AB483" s="7"/>
      <x:c r="AC483" s="7"/>
      <x:c r="AD483" s="7"/>
      <x:c r="AE483" s="3"/>
      <x:c r="AF483" s="3"/>
      <x:c r="AG483" s="3"/>
      <x:c r="AH483" s="3"/>
      <x:c r="AI483" s="3"/>
      <x:c r="AJ483" s="9" t="str">
        <x:f>IF(A483="","",A483&amp;"|"&amp;B483)</x:f>
      </x:c>
      <x:c r="AK483" s="9" t="str">
        <x:f>IF(A483="",IF(B483="","","MISSING_TEST_ID"),IF(B483="","MISSING_RUN_ID",IF(COUNTIFS($A$2:$A$501,A483,$B$2:$B$501,B483)&lt;&gt;1,"DUPLICATE_ID","OK")))</x:f>
      </x:c>
      <x:c r="AL483" s="9" t="str">
        <x:f>IF(A483="","",IF(AND(AK483="OK",J483="READY",F483&lt;&gt;"",G483&lt;&gt;"",K483&lt;&gt;"",OR(L483="PASS",L483="FAIL"),M483&lt;&gt;"",P483="social-publication-v2"),"YES","NO"))</x:f>
      </x:c>
      <x:c r="AM483" s="9" t="str">
        <x:f>IF(A483="","",IF(AND(AK483="OK",J483="READY",F483&lt;&gt;"",G483&lt;&gt;"",K483&lt;&gt;"",S483="OK",OR(R483="PASS",R483="FAIL")),"YES","NO"))</x:f>
      </x:c>
      <x:c r="AN483" s="9" t="str">
        <x:f>IF(A483="","",F483&amp;" | "&amp;G483&amp;" | "&amp;H483&amp;" | "&amp;I483)</x:f>
      </x:c>
    </x:row>
    <x:row r="484" ht="33" customHeight="1">
      <x:c r="A484" s="3"/>
      <x:c r="B484" s="3"/>
      <x:c r="C484" s="3"/>
      <x:c r="D484" s="3"/>
      <x:c r="E484" s="3"/>
      <x:c r="F484" s="3"/>
      <x:c r="G484" s="3"/>
      <x:c r="H484" s="3"/>
      <x:c r="I484" s="3"/>
      <x:c r="J484" s="3"/>
      <x:c r="K484" s="3"/>
      <x:c r="L484" s="6"/>
      <x:c r="M484" s="6"/>
      <x:c r="N484" s="6"/>
      <x:c r="O484" s="6"/>
      <x:c r="P484" s="6"/>
      <x:c r="Q484" s="7"/>
      <x:c r="R484" s="7"/>
      <x:c r="S484" s="7"/>
      <x:c r="T484" s="7"/>
      <x:c r="U484" s="7"/>
      <x:c r="V484" s="7"/>
      <x:c r="W484" s="7"/>
      <x:c r="X484" s="7"/>
      <x:c r="Y484" s="7"/>
      <x:c r="Z484" s="7"/>
      <x:c r="AA484" s="7"/>
      <x:c r="AB484" s="7"/>
      <x:c r="AC484" s="7"/>
      <x:c r="AD484" s="7"/>
      <x:c r="AE484" s="3"/>
      <x:c r="AF484" s="3"/>
      <x:c r="AG484" s="3"/>
      <x:c r="AH484" s="3"/>
      <x:c r="AI484" s="3"/>
      <x:c r="AJ484" s="9" t="str">
        <x:f>IF(A484="","",A484&amp;"|"&amp;B484)</x:f>
      </x:c>
      <x:c r="AK484" s="9" t="str">
        <x:f>IF(A484="",IF(B484="","","MISSING_TEST_ID"),IF(B484="","MISSING_RUN_ID",IF(COUNTIFS($A$2:$A$501,A484,$B$2:$B$501,B484)&lt;&gt;1,"DUPLICATE_ID","OK")))</x:f>
      </x:c>
      <x:c r="AL484" s="9" t="str">
        <x:f>IF(A484="","",IF(AND(AK484="OK",J484="READY",F484&lt;&gt;"",G484&lt;&gt;"",K484&lt;&gt;"",OR(L484="PASS",L484="FAIL"),M484&lt;&gt;"",P484="social-publication-v2"),"YES","NO"))</x:f>
      </x:c>
      <x:c r="AM484" s="9" t="str">
        <x:f>IF(A484="","",IF(AND(AK484="OK",J484="READY",F484&lt;&gt;"",G484&lt;&gt;"",K484&lt;&gt;"",S484="OK",OR(R484="PASS",R484="FAIL")),"YES","NO"))</x:f>
      </x:c>
      <x:c r="AN484" s="9" t="str">
        <x:f>IF(A484="","",F484&amp;" | "&amp;G484&amp;" | "&amp;H484&amp;" | "&amp;I484)</x:f>
      </x:c>
    </x:row>
    <x:row r="485" ht="33" customHeight="1">
      <x:c r="A485" s="3"/>
      <x:c r="B485" s="3"/>
      <x:c r="C485" s="3"/>
      <x:c r="D485" s="3"/>
      <x:c r="E485" s="3"/>
      <x:c r="F485" s="3"/>
      <x:c r="G485" s="3"/>
      <x:c r="H485" s="3"/>
      <x:c r="I485" s="3"/>
      <x:c r="J485" s="3"/>
      <x:c r="K485" s="3"/>
      <x:c r="L485" s="6"/>
      <x:c r="M485" s="6"/>
      <x:c r="N485" s="6"/>
      <x:c r="O485" s="6"/>
      <x:c r="P485" s="6"/>
      <x:c r="Q485" s="7"/>
      <x:c r="R485" s="7"/>
      <x:c r="S485" s="7"/>
      <x:c r="T485" s="7"/>
      <x:c r="U485" s="7"/>
      <x:c r="V485" s="7"/>
      <x:c r="W485" s="7"/>
      <x:c r="X485" s="7"/>
      <x:c r="Y485" s="7"/>
      <x:c r="Z485" s="7"/>
      <x:c r="AA485" s="7"/>
      <x:c r="AB485" s="7"/>
      <x:c r="AC485" s="7"/>
      <x:c r="AD485" s="7"/>
      <x:c r="AE485" s="3"/>
      <x:c r="AF485" s="3"/>
      <x:c r="AG485" s="3"/>
      <x:c r="AH485" s="3"/>
      <x:c r="AI485" s="3"/>
      <x:c r="AJ485" s="9" t="str">
        <x:f>IF(A485="","",A485&amp;"|"&amp;B485)</x:f>
      </x:c>
      <x:c r="AK485" s="9" t="str">
        <x:f>IF(A485="",IF(B485="","","MISSING_TEST_ID"),IF(B485="","MISSING_RUN_ID",IF(COUNTIFS($A$2:$A$501,A485,$B$2:$B$501,B485)&lt;&gt;1,"DUPLICATE_ID","OK")))</x:f>
      </x:c>
      <x:c r="AL485" s="9" t="str">
        <x:f>IF(A485="","",IF(AND(AK485="OK",J485="READY",F485&lt;&gt;"",G485&lt;&gt;"",K485&lt;&gt;"",OR(L485="PASS",L485="FAIL"),M485&lt;&gt;"",P485="social-publication-v2"),"YES","NO"))</x:f>
      </x:c>
      <x:c r="AM485" s="9" t="str">
        <x:f>IF(A485="","",IF(AND(AK485="OK",J485="READY",F485&lt;&gt;"",G485&lt;&gt;"",K485&lt;&gt;"",S485="OK",OR(R485="PASS",R485="FAIL")),"YES","NO"))</x:f>
      </x:c>
      <x:c r="AN485" s="9" t="str">
        <x:f>IF(A485="","",F485&amp;" | "&amp;G485&amp;" | "&amp;H485&amp;" | "&amp;I485)</x:f>
      </x:c>
    </x:row>
    <x:row r="486" ht="33" customHeight="1">
      <x:c r="A486" s="3"/>
      <x:c r="B486" s="3"/>
      <x:c r="C486" s="3"/>
      <x:c r="D486" s="3"/>
      <x:c r="E486" s="3"/>
      <x:c r="F486" s="3"/>
      <x:c r="G486" s="3"/>
      <x:c r="H486" s="3"/>
      <x:c r="I486" s="3"/>
      <x:c r="J486" s="3"/>
      <x:c r="K486" s="3"/>
      <x:c r="L486" s="6"/>
      <x:c r="M486" s="6"/>
      <x:c r="N486" s="6"/>
      <x:c r="O486" s="6"/>
      <x:c r="P486" s="6"/>
      <x:c r="Q486" s="7"/>
      <x:c r="R486" s="7"/>
      <x:c r="S486" s="7"/>
      <x:c r="T486" s="7"/>
      <x:c r="U486" s="7"/>
      <x:c r="V486" s="7"/>
      <x:c r="W486" s="7"/>
      <x:c r="X486" s="7"/>
      <x:c r="Y486" s="7"/>
      <x:c r="Z486" s="7"/>
      <x:c r="AA486" s="7"/>
      <x:c r="AB486" s="7"/>
      <x:c r="AC486" s="7"/>
      <x:c r="AD486" s="7"/>
      <x:c r="AE486" s="3"/>
      <x:c r="AF486" s="3"/>
      <x:c r="AG486" s="3"/>
      <x:c r="AH486" s="3"/>
      <x:c r="AI486" s="3"/>
      <x:c r="AJ486" s="9" t="str">
        <x:f>IF(A486="","",A486&amp;"|"&amp;B486)</x:f>
      </x:c>
      <x:c r="AK486" s="9" t="str">
        <x:f>IF(A486="",IF(B486="","","MISSING_TEST_ID"),IF(B486="","MISSING_RUN_ID",IF(COUNTIFS($A$2:$A$501,A486,$B$2:$B$501,B486)&lt;&gt;1,"DUPLICATE_ID","OK")))</x:f>
      </x:c>
      <x:c r="AL486" s="9" t="str">
        <x:f>IF(A486="","",IF(AND(AK486="OK",J486="READY",F486&lt;&gt;"",G486&lt;&gt;"",K486&lt;&gt;"",OR(L486="PASS",L486="FAIL"),M486&lt;&gt;"",P486="social-publication-v2"),"YES","NO"))</x:f>
      </x:c>
      <x:c r="AM486" s="9" t="str">
        <x:f>IF(A486="","",IF(AND(AK486="OK",J486="READY",F486&lt;&gt;"",G486&lt;&gt;"",K486&lt;&gt;"",S486="OK",OR(R486="PASS",R486="FAIL")),"YES","NO"))</x:f>
      </x:c>
      <x:c r="AN486" s="9" t="str">
        <x:f>IF(A486="","",F486&amp;" | "&amp;G486&amp;" | "&amp;H486&amp;" | "&amp;I486)</x:f>
      </x:c>
    </x:row>
    <x:row r="487" ht="33" customHeight="1">
      <x:c r="A487" s="3"/>
      <x:c r="B487" s="3"/>
      <x:c r="C487" s="3"/>
      <x:c r="D487" s="3"/>
      <x:c r="E487" s="3"/>
      <x:c r="F487" s="3"/>
      <x:c r="G487" s="3"/>
      <x:c r="H487" s="3"/>
      <x:c r="I487" s="3"/>
      <x:c r="J487" s="3"/>
      <x:c r="K487" s="3"/>
      <x:c r="L487" s="6"/>
      <x:c r="M487" s="6"/>
      <x:c r="N487" s="6"/>
      <x:c r="O487" s="6"/>
      <x:c r="P487" s="6"/>
      <x:c r="Q487" s="7"/>
      <x:c r="R487" s="7"/>
      <x:c r="S487" s="7"/>
      <x:c r="T487" s="7"/>
      <x:c r="U487" s="7"/>
      <x:c r="V487" s="7"/>
      <x:c r="W487" s="7"/>
      <x:c r="X487" s="7"/>
      <x:c r="Y487" s="7"/>
      <x:c r="Z487" s="7"/>
      <x:c r="AA487" s="7"/>
      <x:c r="AB487" s="7"/>
      <x:c r="AC487" s="7"/>
      <x:c r="AD487" s="7"/>
      <x:c r="AE487" s="3"/>
      <x:c r="AF487" s="3"/>
      <x:c r="AG487" s="3"/>
      <x:c r="AH487" s="3"/>
      <x:c r="AI487" s="3"/>
      <x:c r="AJ487" s="9" t="str">
        <x:f>IF(A487="","",A487&amp;"|"&amp;B487)</x:f>
      </x:c>
      <x:c r="AK487" s="9" t="str">
        <x:f>IF(A487="",IF(B487="","","MISSING_TEST_ID"),IF(B487="","MISSING_RUN_ID",IF(COUNTIFS($A$2:$A$501,A487,$B$2:$B$501,B487)&lt;&gt;1,"DUPLICATE_ID","OK")))</x:f>
      </x:c>
      <x:c r="AL487" s="9" t="str">
        <x:f>IF(A487="","",IF(AND(AK487="OK",J487="READY",F487&lt;&gt;"",G487&lt;&gt;"",K487&lt;&gt;"",OR(L487="PASS",L487="FAIL"),M487&lt;&gt;"",P487="social-publication-v2"),"YES","NO"))</x:f>
      </x:c>
      <x:c r="AM487" s="9" t="str">
        <x:f>IF(A487="","",IF(AND(AK487="OK",J487="READY",F487&lt;&gt;"",G487&lt;&gt;"",K487&lt;&gt;"",S487="OK",OR(R487="PASS",R487="FAIL")),"YES","NO"))</x:f>
      </x:c>
      <x:c r="AN487" s="9" t="str">
        <x:f>IF(A487="","",F487&amp;" | "&amp;G487&amp;" | "&amp;H487&amp;" | "&amp;I487)</x:f>
      </x:c>
    </x:row>
    <x:row r="488" ht="33" customHeight="1">
      <x:c r="A488" s="3"/>
      <x:c r="B488" s="3"/>
      <x:c r="C488" s="3"/>
      <x:c r="D488" s="3"/>
      <x:c r="E488" s="3"/>
      <x:c r="F488" s="3"/>
      <x:c r="G488" s="3"/>
      <x:c r="H488" s="3"/>
      <x:c r="I488" s="3"/>
      <x:c r="J488" s="3"/>
      <x:c r="K488" s="3"/>
      <x:c r="L488" s="6"/>
      <x:c r="M488" s="6"/>
      <x:c r="N488" s="6"/>
      <x:c r="O488" s="6"/>
      <x:c r="P488" s="6"/>
      <x:c r="Q488" s="7"/>
      <x:c r="R488" s="7"/>
      <x:c r="S488" s="7"/>
      <x:c r="T488" s="7"/>
      <x:c r="U488" s="7"/>
      <x:c r="V488" s="7"/>
      <x:c r="W488" s="7"/>
      <x:c r="X488" s="7"/>
      <x:c r="Y488" s="7"/>
      <x:c r="Z488" s="7"/>
      <x:c r="AA488" s="7"/>
      <x:c r="AB488" s="7"/>
      <x:c r="AC488" s="7"/>
      <x:c r="AD488" s="7"/>
      <x:c r="AE488" s="3"/>
      <x:c r="AF488" s="3"/>
      <x:c r="AG488" s="3"/>
      <x:c r="AH488" s="3"/>
      <x:c r="AI488" s="3"/>
      <x:c r="AJ488" s="9" t="str">
        <x:f>IF(A488="","",A488&amp;"|"&amp;B488)</x:f>
      </x:c>
      <x:c r="AK488" s="9" t="str">
        <x:f>IF(A488="",IF(B488="","","MISSING_TEST_ID"),IF(B488="","MISSING_RUN_ID",IF(COUNTIFS($A$2:$A$501,A488,$B$2:$B$501,B488)&lt;&gt;1,"DUPLICATE_ID","OK")))</x:f>
      </x:c>
      <x:c r="AL488" s="9" t="str">
        <x:f>IF(A488="","",IF(AND(AK488="OK",J488="READY",F488&lt;&gt;"",G488&lt;&gt;"",K488&lt;&gt;"",OR(L488="PASS",L488="FAIL"),M488&lt;&gt;"",P488="social-publication-v2"),"YES","NO"))</x:f>
      </x:c>
      <x:c r="AM488" s="9" t="str">
        <x:f>IF(A488="","",IF(AND(AK488="OK",J488="READY",F488&lt;&gt;"",G488&lt;&gt;"",K488&lt;&gt;"",S488="OK",OR(R488="PASS",R488="FAIL")),"YES","NO"))</x:f>
      </x:c>
      <x:c r="AN488" s="9" t="str">
        <x:f>IF(A488="","",F488&amp;" | "&amp;G488&amp;" | "&amp;H488&amp;" | "&amp;I488)</x:f>
      </x:c>
    </x:row>
    <x:row r="489" ht="33" customHeight="1">
      <x:c r="A489" s="3"/>
      <x:c r="B489" s="3"/>
      <x:c r="C489" s="3"/>
      <x:c r="D489" s="3"/>
      <x:c r="E489" s="3"/>
      <x:c r="F489" s="3"/>
      <x:c r="G489" s="3"/>
      <x:c r="H489" s="3"/>
      <x:c r="I489" s="3"/>
      <x:c r="J489" s="3"/>
      <x:c r="K489" s="3"/>
      <x:c r="L489" s="6"/>
      <x:c r="M489" s="6"/>
      <x:c r="N489" s="6"/>
      <x:c r="O489" s="6"/>
      <x:c r="P489" s="6"/>
      <x:c r="Q489" s="7"/>
      <x:c r="R489" s="7"/>
      <x:c r="S489" s="7"/>
      <x:c r="T489" s="7"/>
      <x:c r="U489" s="7"/>
      <x:c r="V489" s="7"/>
      <x:c r="W489" s="7"/>
      <x:c r="X489" s="7"/>
      <x:c r="Y489" s="7"/>
      <x:c r="Z489" s="7"/>
      <x:c r="AA489" s="7"/>
      <x:c r="AB489" s="7"/>
      <x:c r="AC489" s="7"/>
      <x:c r="AD489" s="7"/>
      <x:c r="AE489" s="3"/>
      <x:c r="AF489" s="3"/>
      <x:c r="AG489" s="3"/>
      <x:c r="AH489" s="3"/>
      <x:c r="AI489" s="3"/>
      <x:c r="AJ489" s="9" t="str">
        <x:f>IF(A489="","",A489&amp;"|"&amp;B489)</x:f>
      </x:c>
      <x:c r="AK489" s="9" t="str">
        <x:f>IF(A489="",IF(B489="","","MISSING_TEST_ID"),IF(B489="","MISSING_RUN_ID",IF(COUNTIFS($A$2:$A$501,A489,$B$2:$B$501,B489)&lt;&gt;1,"DUPLICATE_ID","OK")))</x:f>
      </x:c>
      <x:c r="AL489" s="9" t="str">
        <x:f>IF(A489="","",IF(AND(AK489="OK",J489="READY",F489&lt;&gt;"",G489&lt;&gt;"",K489&lt;&gt;"",OR(L489="PASS",L489="FAIL"),M489&lt;&gt;"",P489="social-publication-v2"),"YES","NO"))</x:f>
      </x:c>
      <x:c r="AM489" s="9" t="str">
        <x:f>IF(A489="","",IF(AND(AK489="OK",J489="READY",F489&lt;&gt;"",G489&lt;&gt;"",K489&lt;&gt;"",S489="OK",OR(R489="PASS",R489="FAIL")),"YES","NO"))</x:f>
      </x:c>
      <x:c r="AN489" s="9" t="str">
        <x:f>IF(A489="","",F489&amp;" | "&amp;G489&amp;" | "&amp;H489&amp;" | "&amp;I489)</x:f>
      </x:c>
    </x:row>
    <x:row r="490" ht="33" customHeight="1">
      <x:c r="A490" s="3"/>
      <x:c r="B490" s="3"/>
      <x:c r="C490" s="3"/>
      <x:c r="D490" s="3"/>
      <x:c r="E490" s="3"/>
      <x:c r="F490" s="3"/>
      <x:c r="G490" s="3"/>
      <x:c r="H490" s="3"/>
      <x:c r="I490" s="3"/>
      <x:c r="J490" s="3"/>
      <x:c r="K490" s="3"/>
      <x:c r="L490" s="6"/>
      <x:c r="M490" s="6"/>
      <x:c r="N490" s="6"/>
      <x:c r="O490" s="6"/>
      <x:c r="P490" s="6"/>
      <x:c r="Q490" s="7"/>
      <x:c r="R490" s="7"/>
      <x:c r="S490" s="7"/>
      <x:c r="T490" s="7"/>
      <x:c r="U490" s="7"/>
      <x:c r="V490" s="7"/>
      <x:c r="W490" s="7"/>
      <x:c r="X490" s="7"/>
      <x:c r="Y490" s="7"/>
      <x:c r="Z490" s="7"/>
      <x:c r="AA490" s="7"/>
      <x:c r="AB490" s="7"/>
      <x:c r="AC490" s="7"/>
      <x:c r="AD490" s="7"/>
      <x:c r="AE490" s="3"/>
      <x:c r="AF490" s="3"/>
      <x:c r="AG490" s="3"/>
      <x:c r="AH490" s="3"/>
      <x:c r="AI490" s="3"/>
      <x:c r="AJ490" s="9" t="str">
        <x:f>IF(A490="","",A490&amp;"|"&amp;B490)</x:f>
      </x:c>
      <x:c r="AK490" s="9" t="str">
        <x:f>IF(A490="",IF(B490="","","MISSING_TEST_ID"),IF(B490="","MISSING_RUN_ID",IF(COUNTIFS($A$2:$A$501,A490,$B$2:$B$501,B490)&lt;&gt;1,"DUPLICATE_ID","OK")))</x:f>
      </x:c>
      <x:c r="AL490" s="9" t="str">
        <x:f>IF(A490="","",IF(AND(AK490="OK",J490="READY",F490&lt;&gt;"",G490&lt;&gt;"",K490&lt;&gt;"",OR(L490="PASS",L490="FAIL"),M490&lt;&gt;"",P490="social-publication-v2"),"YES","NO"))</x:f>
      </x:c>
      <x:c r="AM490" s="9" t="str">
        <x:f>IF(A490="","",IF(AND(AK490="OK",J490="READY",F490&lt;&gt;"",G490&lt;&gt;"",K490&lt;&gt;"",S490="OK",OR(R490="PASS",R490="FAIL")),"YES","NO"))</x:f>
      </x:c>
      <x:c r="AN490" s="9" t="str">
        <x:f>IF(A490="","",F490&amp;" | "&amp;G490&amp;" | "&amp;H490&amp;" | "&amp;I490)</x:f>
      </x:c>
    </x:row>
    <x:row r="491" ht="33" customHeight="1">
      <x:c r="A491" s="3"/>
      <x:c r="B491" s="3"/>
      <x:c r="C491" s="3"/>
      <x:c r="D491" s="3"/>
      <x:c r="E491" s="3"/>
      <x:c r="F491" s="3"/>
      <x:c r="G491" s="3"/>
      <x:c r="H491" s="3"/>
      <x:c r="I491" s="3"/>
      <x:c r="J491" s="3"/>
      <x:c r="K491" s="3"/>
      <x:c r="L491" s="6"/>
      <x:c r="M491" s="6"/>
      <x:c r="N491" s="6"/>
      <x:c r="O491" s="6"/>
      <x:c r="P491" s="6"/>
      <x:c r="Q491" s="7"/>
      <x:c r="R491" s="7"/>
      <x:c r="S491" s="7"/>
      <x:c r="T491" s="7"/>
      <x:c r="U491" s="7"/>
      <x:c r="V491" s="7"/>
      <x:c r="W491" s="7"/>
      <x:c r="X491" s="7"/>
      <x:c r="Y491" s="7"/>
      <x:c r="Z491" s="7"/>
      <x:c r="AA491" s="7"/>
      <x:c r="AB491" s="7"/>
      <x:c r="AC491" s="7"/>
      <x:c r="AD491" s="7"/>
      <x:c r="AE491" s="3"/>
      <x:c r="AF491" s="3"/>
      <x:c r="AG491" s="3"/>
      <x:c r="AH491" s="3"/>
      <x:c r="AI491" s="3"/>
      <x:c r="AJ491" s="9" t="str">
        <x:f>IF(A491="","",A491&amp;"|"&amp;B491)</x:f>
      </x:c>
      <x:c r="AK491" s="9" t="str">
        <x:f>IF(A491="",IF(B491="","","MISSING_TEST_ID"),IF(B491="","MISSING_RUN_ID",IF(COUNTIFS($A$2:$A$501,A491,$B$2:$B$501,B491)&lt;&gt;1,"DUPLICATE_ID","OK")))</x:f>
      </x:c>
      <x:c r="AL491" s="9" t="str">
        <x:f>IF(A491="","",IF(AND(AK491="OK",J491="READY",F491&lt;&gt;"",G491&lt;&gt;"",K491&lt;&gt;"",OR(L491="PASS",L491="FAIL"),M491&lt;&gt;"",P491="social-publication-v2"),"YES","NO"))</x:f>
      </x:c>
      <x:c r="AM491" s="9" t="str">
        <x:f>IF(A491="","",IF(AND(AK491="OK",J491="READY",F491&lt;&gt;"",G491&lt;&gt;"",K491&lt;&gt;"",S491="OK",OR(R491="PASS",R491="FAIL")),"YES","NO"))</x:f>
      </x:c>
      <x:c r="AN491" s="9" t="str">
        <x:f>IF(A491="","",F491&amp;" | "&amp;G491&amp;" | "&amp;H491&amp;" | "&amp;I491)</x:f>
      </x:c>
    </x:row>
    <x:row r="492" ht="33" customHeight="1">
      <x:c r="A492" s="3"/>
      <x:c r="B492" s="3"/>
      <x:c r="C492" s="3"/>
      <x:c r="D492" s="3"/>
      <x:c r="E492" s="3"/>
      <x:c r="F492" s="3"/>
      <x:c r="G492" s="3"/>
      <x:c r="H492" s="3"/>
      <x:c r="I492" s="3"/>
      <x:c r="J492" s="3"/>
      <x:c r="K492" s="3"/>
      <x:c r="L492" s="6"/>
      <x:c r="M492" s="6"/>
      <x:c r="N492" s="6"/>
      <x:c r="O492" s="6"/>
      <x:c r="P492" s="6"/>
      <x:c r="Q492" s="7"/>
      <x:c r="R492" s="7"/>
      <x:c r="S492" s="7"/>
      <x:c r="T492" s="7"/>
      <x:c r="U492" s="7"/>
      <x:c r="V492" s="7"/>
      <x:c r="W492" s="7"/>
      <x:c r="X492" s="7"/>
      <x:c r="Y492" s="7"/>
      <x:c r="Z492" s="7"/>
      <x:c r="AA492" s="7"/>
      <x:c r="AB492" s="7"/>
      <x:c r="AC492" s="7"/>
      <x:c r="AD492" s="7"/>
      <x:c r="AE492" s="3"/>
      <x:c r="AF492" s="3"/>
      <x:c r="AG492" s="3"/>
      <x:c r="AH492" s="3"/>
      <x:c r="AI492" s="3"/>
      <x:c r="AJ492" s="9" t="str">
        <x:f>IF(A492="","",A492&amp;"|"&amp;B492)</x:f>
      </x:c>
      <x:c r="AK492" s="9" t="str">
        <x:f>IF(A492="",IF(B492="","","MISSING_TEST_ID"),IF(B492="","MISSING_RUN_ID",IF(COUNTIFS($A$2:$A$501,A492,$B$2:$B$501,B492)&lt;&gt;1,"DUPLICATE_ID","OK")))</x:f>
      </x:c>
      <x:c r="AL492" s="9" t="str">
        <x:f>IF(A492="","",IF(AND(AK492="OK",J492="READY",F492&lt;&gt;"",G492&lt;&gt;"",K492&lt;&gt;"",OR(L492="PASS",L492="FAIL"),M492&lt;&gt;"",P492="social-publication-v2"),"YES","NO"))</x:f>
      </x:c>
      <x:c r="AM492" s="9" t="str">
        <x:f>IF(A492="","",IF(AND(AK492="OK",J492="READY",F492&lt;&gt;"",G492&lt;&gt;"",K492&lt;&gt;"",S492="OK",OR(R492="PASS",R492="FAIL")),"YES","NO"))</x:f>
      </x:c>
      <x:c r="AN492" s="9" t="str">
        <x:f>IF(A492="","",F492&amp;" | "&amp;G492&amp;" | "&amp;H492&amp;" | "&amp;I492)</x:f>
      </x:c>
    </x:row>
    <x:row r="493" ht="33" customHeight="1">
      <x:c r="A493" s="3"/>
      <x:c r="B493" s="3"/>
      <x:c r="C493" s="3"/>
      <x:c r="D493" s="3"/>
      <x:c r="E493" s="3"/>
      <x:c r="F493" s="3"/>
      <x:c r="G493" s="3"/>
      <x:c r="H493" s="3"/>
      <x:c r="I493" s="3"/>
      <x:c r="J493" s="3"/>
      <x:c r="K493" s="3"/>
      <x:c r="L493" s="6"/>
      <x:c r="M493" s="6"/>
      <x:c r="N493" s="6"/>
      <x:c r="O493" s="6"/>
      <x:c r="P493" s="6"/>
      <x:c r="Q493" s="7"/>
      <x:c r="R493" s="7"/>
      <x:c r="S493" s="7"/>
      <x:c r="T493" s="7"/>
      <x:c r="U493" s="7"/>
      <x:c r="V493" s="7"/>
      <x:c r="W493" s="7"/>
      <x:c r="X493" s="7"/>
      <x:c r="Y493" s="7"/>
      <x:c r="Z493" s="7"/>
      <x:c r="AA493" s="7"/>
      <x:c r="AB493" s="7"/>
      <x:c r="AC493" s="7"/>
      <x:c r="AD493" s="7"/>
      <x:c r="AE493" s="3"/>
      <x:c r="AF493" s="3"/>
      <x:c r="AG493" s="3"/>
      <x:c r="AH493" s="3"/>
      <x:c r="AI493" s="3"/>
      <x:c r="AJ493" s="9" t="str">
        <x:f>IF(A493="","",A493&amp;"|"&amp;B493)</x:f>
      </x:c>
      <x:c r="AK493" s="9" t="str">
        <x:f>IF(A493="",IF(B493="","","MISSING_TEST_ID"),IF(B493="","MISSING_RUN_ID",IF(COUNTIFS($A$2:$A$501,A493,$B$2:$B$501,B493)&lt;&gt;1,"DUPLICATE_ID","OK")))</x:f>
      </x:c>
      <x:c r="AL493" s="9" t="str">
        <x:f>IF(A493="","",IF(AND(AK493="OK",J493="READY",F493&lt;&gt;"",G493&lt;&gt;"",K493&lt;&gt;"",OR(L493="PASS",L493="FAIL"),M493&lt;&gt;"",P493="social-publication-v2"),"YES","NO"))</x:f>
      </x:c>
      <x:c r="AM493" s="9" t="str">
        <x:f>IF(A493="","",IF(AND(AK493="OK",J493="READY",F493&lt;&gt;"",G493&lt;&gt;"",K493&lt;&gt;"",S493="OK",OR(R493="PASS",R493="FAIL")),"YES","NO"))</x:f>
      </x:c>
      <x:c r="AN493" s="9" t="str">
        <x:f>IF(A493="","",F493&amp;" | "&amp;G493&amp;" | "&amp;H493&amp;" | "&amp;I493)</x:f>
      </x:c>
    </x:row>
    <x:row r="494" ht="33" customHeight="1">
      <x:c r="A494" s="3"/>
      <x:c r="B494" s="3"/>
      <x:c r="C494" s="3"/>
      <x:c r="D494" s="3"/>
      <x:c r="E494" s="3"/>
      <x:c r="F494" s="3"/>
      <x:c r="G494" s="3"/>
      <x:c r="H494" s="3"/>
      <x:c r="I494" s="3"/>
      <x:c r="J494" s="3"/>
      <x:c r="K494" s="3"/>
      <x:c r="L494" s="6"/>
      <x:c r="M494" s="6"/>
      <x:c r="N494" s="6"/>
      <x:c r="O494" s="6"/>
      <x:c r="P494" s="6"/>
      <x:c r="Q494" s="7"/>
      <x:c r="R494" s="7"/>
      <x:c r="S494" s="7"/>
      <x:c r="T494" s="7"/>
      <x:c r="U494" s="7"/>
      <x:c r="V494" s="7"/>
      <x:c r="W494" s="7"/>
      <x:c r="X494" s="7"/>
      <x:c r="Y494" s="7"/>
      <x:c r="Z494" s="7"/>
      <x:c r="AA494" s="7"/>
      <x:c r="AB494" s="7"/>
      <x:c r="AC494" s="7"/>
      <x:c r="AD494" s="7"/>
      <x:c r="AE494" s="3"/>
      <x:c r="AF494" s="3"/>
      <x:c r="AG494" s="3"/>
      <x:c r="AH494" s="3"/>
      <x:c r="AI494" s="3"/>
      <x:c r="AJ494" s="9" t="str">
        <x:f>IF(A494="","",A494&amp;"|"&amp;B494)</x:f>
      </x:c>
      <x:c r="AK494" s="9" t="str">
        <x:f>IF(A494="",IF(B494="","","MISSING_TEST_ID"),IF(B494="","MISSING_RUN_ID",IF(COUNTIFS($A$2:$A$501,A494,$B$2:$B$501,B494)&lt;&gt;1,"DUPLICATE_ID","OK")))</x:f>
      </x:c>
      <x:c r="AL494" s="9" t="str">
        <x:f>IF(A494="","",IF(AND(AK494="OK",J494="READY",F494&lt;&gt;"",G494&lt;&gt;"",K494&lt;&gt;"",OR(L494="PASS",L494="FAIL"),M494&lt;&gt;"",P494="social-publication-v2"),"YES","NO"))</x:f>
      </x:c>
      <x:c r="AM494" s="9" t="str">
        <x:f>IF(A494="","",IF(AND(AK494="OK",J494="READY",F494&lt;&gt;"",G494&lt;&gt;"",K494&lt;&gt;"",S494="OK",OR(R494="PASS",R494="FAIL")),"YES","NO"))</x:f>
      </x:c>
      <x:c r="AN494" s="9" t="str">
        <x:f>IF(A494="","",F494&amp;" | "&amp;G494&amp;" | "&amp;H494&amp;" | "&amp;I494)</x:f>
      </x:c>
    </x:row>
    <x:row r="495" ht="33" customHeight="1">
      <x:c r="A495" s="3"/>
      <x:c r="B495" s="3"/>
      <x:c r="C495" s="3"/>
      <x:c r="D495" s="3"/>
      <x:c r="E495" s="3"/>
      <x:c r="F495" s="3"/>
      <x:c r="G495" s="3"/>
      <x:c r="H495" s="3"/>
      <x:c r="I495" s="3"/>
      <x:c r="J495" s="3"/>
      <x:c r="K495" s="3"/>
      <x:c r="L495" s="6"/>
      <x:c r="M495" s="6"/>
      <x:c r="N495" s="6"/>
      <x:c r="O495" s="6"/>
      <x:c r="P495" s="6"/>
      <x:c r="Q495" s="7"/>
      <x:c r="R495" s="7"/>
      <x:c r="S495" s="7"/>
      <x:c r="T495" s="7"/>
      <x:c r="U495" s="7"/>
      <x:c r="V495" s="7"/>
      <x:c r="W495" s="7"/>
      <x:c r="X495" s="7"/>
      <x:c r="Y495" s="7"/>
      <x:c r="Z495" s="7"/>
      <x:c r="AA495" s="7"/>
      <x:c r="AB495" s="7"/>
      <x:c r="AC495" s="7"/>
      <x:c r="AD495" s="7"/>
      <x:c r="AE495" s="3"/>
      <x:c r="AF495" s="3"/>
      <x:c r="AG495" s="3"/>
      <x:c r="AH495" s="3"/>
      <x:c r="AI495" s="3"/>
      <x:c r="AJ495" s="9" t="str">
        <x:f>IF(A495="","",A495&amp;"|"&amp;B495)</x:f>
      </x:c>
      <x:c r="AK495" s="9" t="str">
        <x:f>IF(A495="",IF(B495="","","MISSING_TEST_ID"),IF(B495="","MISSING_RUN_ID",IF(COUNTIFS($A$2:$A$501,A495,$B$2:$B$501,B495)&lt;&gt;1,"DUPLICATE_ID","OK")))</x:f>
      </x:c>
      <x:c r="AL495" s="9" t="str">
        <x:f>IF(A495="","",IF(AND(AK495="OK",J495="READY",F495&lt;&gt;"",G495&lt;&gt;"",K495&lt;&gt;"",OR(L495="PASS",L495="FAIL"),M495&lt;&gt;"",P495="social-publication-v2"),"YES","NO"))</x:f>
      </x:c>
      <x:c r="AM495" s="9" t="str">
        <x:f>IF(A495="","",IF(AND(AK495="OK",J495="READY",F495&lt;&gt;"",G495&lt;&gt;"",K495&lt;&gt;"",S495="OK",OR(R495="PASS",R495="FAIL")),"YES","NO"))</x:f>
      </x:c>
      <x:c r="AN495" s="9" t="str">
        <x:f>IF(A495="","",F495&amp;" | "&amp;G495&amp;" | "&amp;H495&amp;" | "&amp;I495)</x:f>
      </x:c>
    </x:row>
    <x:row r="496" ht="33" customHeight="1">
      <x:c r="A496" s="3"/>
      <x:c r="B496" s="3"/>
      <x:c r="C496" s="3"/>
      <x:c r="D496" s="3"/>
      <x:c r="E496" s="3"/>
      <x:c r="F496" s="3"/>
      <x:c r="G496" s="3"/>
      <x:c r="H496" s="3"/>
      <x:c r="I496" s="3"/>
      <x:c r="J496" s="3"/>
      <x:c r="K496" s="3"/>
      <x:c r="L496" s="6"/>
      <x:c r="M496" s="6"/>
      <x:c r="N496" s="6"/>
      <x:c r="O496" s="6"/>
      <x:c r="P496" s="6"/>
      <x:c r="Q496" s="7"/>
      <x:c r="R496" s="7"/>
      <x:c r="S496" s="7"/>
      <x:c r="T496" s="7"/>
      <x:c r="U496" s="7"/>
      <x:c r="V496" s="7"/>
      <x:c r="W496" s="7"/>
      <x:c r="X496" s="7"/>
      <x:c r="Y496" s="7"/>
      <x:c r="Z496" s="7"/>
      <x:c r="AA496" s="7"/>
      <x:c r="AB496" s="7"/>
      <x:c r="AC496" s="7"/>
      <x:c r="AD496" s="7"/>
      <x:c r="AE496" s="3"/>
      <x:c r="AF496" s="3"/>
      <x:c r="AG496" s="3"/>
      <x:c r="AH496" s="3"/>
      <x:c r="AI496" s="3"/>
      <x:c r="AJ496" s="9" t="str">
        <x:f>IF(A496="","",A496&amp;"|"&amp;B496)</x:f>
      </x:c>
      <x:c r="AK496" s="9" t="str">
        <x:f>IF(A496="",IF(B496="","","MISSING_TEST_ID"),IF(B496="","MISSING_RUN_ID",IF(COUNTIFS($A$2:$A$501,A496,$B$2:$B$501,B496)&lt;&gt;1,"DUPLICATE_ID","OK")))</x:f>
      </x:c>
      <x:c r="AL496" s="9" t="str">
        <x:f>IF(A496="","",IF(AND(AK496="OK",J496="READY",F496&lt;&gt;"",G496&lt;&gt;"",K496&lt;&gt;"",OR(L496="PASS",L496="FAIL"),M496&lt;&gt;"",P496="social-publication-v2"),"YES","NO"))</x:f>
      </x:c>
      <x:c r="AM496" s="9" t="str">
        <x:f>IF(A496="","",IF(AND(AK496="OK",J496="READY",F496&lt;&gt;"",G496&lt;&gt;"",K496&lt;&gt;"",S496="OK",OR(R496="PASS",R496="FAIL")),"YES","NO"))</x:f>
      </x:c>
      <x:c r="AN496" s="9" t="str">
        <x:f>IF(A496="","",F496&amp;" | "&amp;G496&amp;" | "&amp;H496&amp;" | "&amp;I496)</x:f>
      </x:c>
    </x:row>
    <x:row r="497" ht="33" customHeight="1">
      <x:c r="A497" s="3"/>
      <x:c r="B497" s="3"/>
      <x:c r="C497" s="3"/>
      <x:c r="D497" s="3"/>
      <x:c r="E497" s="3"/>
      <x:c r="F497" s="3"/>
      <x:c r="G497" s="3"/>
      <x:c r="H497" s="3"/>
      <x:c r="I497" s="3"/>
      <x:c r="J497" s="3"/>
      <x:c r="K497" s="3"/>
      <x:c r="L497" s="6"/>
      <x:c r="M497" s="6"/>
      <x:c r="N497" s="6"/>
      <x:c r="O497" s="6"/>
      <x:c r="P497" s="6"/>
      <x:c r="Q497" s="7"/>
      <x:c r="R497" s="7"/>
      <x:c r="S497" s="7"/>
      <x:c r="T497" s="7"/>
      <x:c r="U497" s="7"/>
      <x:c r="V497" s="7"/>
      <x:c r="W497" s="7"/>
      <x:c r="X497" s="7"/>
      <x:c r="Y497" s="7"/>
      <x:c r="Z497" s="7"/>
      <x:c r="AA497" s="7"/>
      <x:c r="AB497" s="7"/>
      <x:c r="AC497" s="7"/>
      <x:c r="AD497" s="7"/>
      <x:c r="AE497" s="3"/>
      <x:c r="AF497" s="3"/>
      <x:c r="AG497" s="3"/>
      <x:c r="AH497" s="3"/>
      <x:c r="AI497" s="3"/>
      <x:c r="AJ497" s="9" t="str">
        <x:f>IF(A497="","",A497&amp;"|"&amp;B497)</x:f>
      </x:c>
      <x:c r="AK497" s="9" t="str">
        <x:f>IF(A497="",IF(B497="","","MISSING_TEST_ID"),IF(B497="","MISSING_RUN_ID",IF(COUNTIFS($A$2:$A$501,A497,$B$2:$B$501,B497)&lt;&gt;1,"DUPLICATE_ID","OK")))</x:f>
      </x:c>
      <x:c r="AL497" s="9" t="str">
        <x:f>IF(A497="","",IF(AND(AK497="OK",J497="READY",F497&lt;&gt;"",G497&lt;&gt;"",K497&lt;&gt;"",OR(L497="PASS",L497="FAIL"),M497&lt;&gt;"",P497="social-publication-v2"),"YES","NO"))</x:f>
      </x:c>
      <x:c r="AM497" s="9" t="str">
        <x:f>IF(A497="","",IF(AND(AK497="OK",J497="READY",F497&lt;&gt;"",G497&lt;&gt;"",K497&lt;&gt;"",S497="OK",OR(R497="PASS",R497="FAIL")),"YES","NO"))</x:f>
      </x:c>
      <x:c r="AN497" s="9" t="str">
        <x:f>IF(A497="","",F497&amp;" | "&amp;G497&amp;" | "&amp;H497&amp;" | "&amp;I497)</x:f>
      </x:c>
    </x:row>
    <x:row r="498" ht="33" customHeight="1">
      <x:c r="A498" s="3"/>
      <x:c r="B498" s="3"/>
      <x:c r="C498" s="3"/>
      <x:c r="D498" s="3"/>
      <x:c r="E498" s="3"/>
      <x:c r="F498" s="3"/>
      <x:c r="G498" s="3"/>
      <x:c r="H498" s="3"/>
      <x:c r="I498" s="3"/>
      <x:c r="J498" s="3"/>
      <x:c r="K498" s="3"/>
      <x:c r="L498" s="6"/>
      <x:c r="M498" s="6"/>
      <x:c r="N498" s="6"/>
      <x:c r="O498" s="6"/>
      <x:c r="P498" s="6"/>
      <x:c r="Q498" s="7"/>
      <x:c r="R498" s="7"/>
      <x:c r="S498" s="7"/>
      <x:c r="T498" s="7"/>
      <x:c r="U498" s="7"/>
      <x:c r="V498" s="7"/>
      <x:c r="W498" s="7"/>
      <x:c r="X498" s="7"/>
      <x:c r="Y498" s="7"/>
      <x:c r="Z498" s="7"/>
      <x:c r="AA498" s="7"/>
      <x:c r="AB498" s="7"/>
      <x:c r="AC498" s="7"/>
      <x:c r="AD498" s="7"/>
      <x:c r="AE498" s="3"/>
      <x:c r="AF498" s="3"/>
      <x:c r="AG498" s="3"/>
      <x:c r="AH498" s="3"/>
      <x:c r="AI498" s="3"/>
      <x:c r="AJ498" s="9" t="str">
        <x:f>IF(A498="","",A498&amp;"|"&amp;B498)</x:f>
      </x:c>
      <x:c r="AK498" s="9" t="str">
        <x:f>IF(A498="",IF(B498="","","MISSING_TEST_ID"),IF(B498="","MISSING_RUN_ID",IF(COUNTIFS($A$2:$A$501,A498,$B$2:$B$501,B498)&lt;&gt;1,"DUPLICATE_ID","OK")))</x:f>
      </x:c>
      <x:c r="AL498" s="9" t="str">
        <x:f>IF(A498="","",IF(AND(AK498="OK",J498="READY",F498&lt;&gt;"",G498&lt;&gt;"",K498&lt;&gt;"",OR(L498="PASS",L498="FAIL"),M498&lt;&gt;"",P498="social-publication-v2"),"YES","NO"))</x:f>
      </x:c>
      <x:c r="AM498" s="9" t="str">
        <x:f>IF(A498="","",IF(AND(AK498="OK",J498="READY",F498&lt;&gt;"",G498&lt;&gt;"",K498&lt;&gt;"",S498="OK",OR(R498="PASS",R498="FAIL")),"YES","NO"))</x:f>
      </x:c>
      <x:c r="AN498" s="9" t="str">
        <x:f>IF(A498="","",F498&amp;" | "&amp;G498&amp;" | "&amp;H498&amp;" | "&amp;I498)</x:f>
      </x:c>
    </x:row>
    <x:row r="499" ht="33" customHeight="1">
      <x:c r="A499" s="3"/>
      <x:c r="B499" s="3"/>
      <x:c r="C499" s="3"/>
      <x:c r="D499" s="3"/>
      <x:c r="E499" s="3"/>
      <x:c r="F499" s="3"/>
      <x:c r="G499" s="3"/>
      <x:c r="H499" s="3"/>
      <x:c r="I499" s="3"/>
      <x:c r="J499" s="3"/>
      <x:c r="K499" s="3"/>
      <x:c r="L499" s="6"/>
      <x:c r="M499" s="6"/>
      <x:c r="N499" s="6"/>
      <x:c r="O499" s="6"/>
      <x:c r="P499" s="6"/>
      <x:c r="Q499" s="7"/>
      <x:c r="R499" s="7"/>
      <x:c r="S499" s="7"/>
      <x:c r="T499" s="7"/>
      <x:c r="U499" s="7"/>
      <x:c r="V499" s="7"/>
      <x:c r="W499" s="7"/>
      <x:c r="X499" s="7"/>
      <x:c r="Y499" s="7"/>
      <x:c r="Z499" s="7"/>
      <x:c r="AA499" s="7"/>
      <x:c r="AB499" s="7"/>
      <x:c r="AC499" s="7"/>
      <x:c r="AD499" s="7"/>
      <x:c r="AE499" s="3"/>
      <x:c r="AF499" s="3"/>
      <x:c r="AG499" s="3"/>
      <x:c r="AH499" s="3"/>
      <x:c r="AI499" s="3"/>
      <x:c r="AJ499" s="9" t="str">
        <x:f>IF(A499="","",A499&amp;"|"&amp;B499)</x:f>
      </x:c>
      <x:c r="AK499" s="9" t="str">
        <x:f>IF(A499="",IF(B499="","","MISSING_TEST_ID"),IF(B499="","MISSING_RUN_ID",IF(COUNTIFS($A$2:$A$501,A499,$B$2:$B$501,B499)&lt;&gt;1,"DUPLICATE_ID","OK")))</x:f>
      </x:c>
      <x:c r="AL499" s="9" t="str">
        <x:f>IF(A499="","",IF(AND(AK499="OK",J499="READY",F499&lt;&gt;"",G499&lt;&gt;"",K499&lt;&gt;"",OR(L499="PASS",L499="FAIL"),M499&lt;&gt;"",P499="social-publication-v2"),"YES","NO"))</x:f>
      </x:c>
      <x:c r="AM499" s="9" t="str">
        <x:f>IF(A499="","",IF(AND(AK499="OK",J499="READY",F499&lt;&gt;"",G499&lt;&gt;"",K499&lt;&gt;"",S499="OK",OR(R499="PASS",R499="FAIL")),"YES","NO"))</x:f>
      </x:c>
      <x:c r="AN499" s="9" t="str">
        <x:f>IF(A499="","",F499&amp;" | "&amp;G499&amp;" | "&amp;H499&amp;" | "&amp;I499)</x:f>
      </x:c>
    </x:row>
    <x:row r="500" ht="33" customHeight="1">
      <x:c r="A500" s="3"/>
      <x:c r="B500" s="3"/>
      <x:c r="C500" s="3"/>
      <x:c r="D500" s="3"/>
      <x:c r="E500" s="3"/>
      <x:c r="F500" s="3"/>
      <x:c r="G500" s="3"/>
      <x:c r="H500" s="3"/>
      <x:c r="I500" s="3"/>
      <x:c r="J500" s="3"/>
      <x:c r="K500" s="3"/>
      <x:c r="L500" s="6"/>
      <x:c r="M500" s="6"/>
      <x:c r="N500" s="6"/>
      <x:c r="O500" s="6"/>
      <x:c r="P500" s="6"/>
      <x:c r="Q500" s="7"/>
      <x:c r="R500" s="7"/>
      <x:c r="S500" s="7"/>
      <x:c r="T500" s="7"/>
      <x:c r="U500" s="7"/>
      <x:c r="V500" s="7"/>
      <x:c r="W500" s="7"/>
      <x:c r="X500" s="7"/>
      <x:c r="Y500" s="7"/>
      <x:c r="Z500" s="7"/>
      <x:c r="AA500" s="7"/>
      <x:c r="AB500" s="7"/>
      <x:c r="AC500" s="7"/>
      <x:c r="AD500" s="7"/>
      <x:c r="AE500" s="3"/>
      <x:c r="AF500" s="3"/>
      <x:c r="AG500" s="3"/>
      <x:c r="AH500" s="3"/>
      <x:c r="AI500" s="3"/>
      <x:c r="AJ500" s="9" t="str">
        <x:f>IF(A500="","",A500&amp;"|"&amp;B500)</x:f>
      </x:c>
      <x:c r="AK500" s="9" t="str">
        <x:f>IF(A500="",IF(B500="","","MISSING_TEST_ID"),IF(B500="","MISSING_RUN_ID",IF(COUNTIFS($A$2:$A$501,A500,$B$2:$B$501,B500)&lt;&gt;1,"DUPLICATE_ID","OK")))</x:f>
      </x:c>
      <x:c r="AL500" s="9" t="str">
        <x:f>IF(A500="","",IF(AND(AK500="OK",J500="READY",F500&lt;&gt;"",G500&lt;&gt;"",K500&lt;&gt;"",OR(L500="PASS",L500="FAIL"),M500&lt;&gt;"",P500="social-publication-v2"),"YES","NO"))</x:f>
      </x:c>
      <x:c r="AM500" s="9" t="str">
        <x:f>IF(A500="","",IF(AND(AK500="OK",J500="READY",F500&lt;&gt;"",G500&lt;&gt;"",K500&lt;&gt;"",S500="OK",OR(R500="PASS",R500="FAIL")),"YES","NO"))</x:f>
      </x:c>
      <x:c r="AN500" s="9" t="str">
        <x:f>IF(A500="","",F500&amp;" | "&amp;G500&amp;" | "&amp;H500&amp;" | "&amp;I500)</x:f>
      </x:c>
    </x:row>
    <x:row r="501" ht="33" customHeight="1">
      <x:c r="A501" s="3"/>
      <x:c r="B501" s="3"/>
      <x:c r="C501" s="3"/>
      <x:c r="D501" s="3"/>
      <x:c r="E501" s="3"/>
      <x:c r="F501" s="3"/>
      <x:c r="G501" s="3"/>
      <x:c r="H501" s="3"/>
      <x:c r="I501" s="3"/>
      <x:c r="J501" s="3"/>
      <x:c r="K501" s="3"/>
      <x:c r="L501" s="6"/>
      <x:c r="M501" s="6"/>
      <x:c r="N501" s="6"/>
      <x:c r="O501" s="6"/>
      <x:c r="P501" s="6"/>
      <x:c r="Q501" s="7"/>
      <x:c r="R501" s="7"/>
      <x:c r="S501" s="7"/>
      <x:c r="T501" s="7"/>
      <x:c r="U501" s="7"/>
      <x:c r="V501" s="7"/>
      <x:c r="W501" s="7"/>
      <x:c r="X501" s="7"/>
      <x:c r="Y501" s="7"/>
      <x:c r="Z501" s="7"/>
      <x:c r="AA501" s="7"/>
      <x:c r="AB501" s="7"/>
      <x:c r="AC501" s="7"/>
      <x:c r="AD501" s="7"/>
      <x:c r="AE501" s="3"/>
      <x:c r="AF501" s="3"/>
      <x:c r="AG501" s="3"/>
      <x:c r="AH501" s="3"/>
      <x:c r="AI501" s="3"/>
      <x:c r="AJ501" s="9" t="str">
        <x:f>IF(A501="","",A501&amp;"|"&amp;B501)</x:f>
      </x:c>
      <x:c r="AK501" s="9" t="str">
        <x:f>IF(A501="",IF(B501="","","MISSING_TEST_ID"),IF(B501="","MISSING_RUN_ID",IF(COUNTIFS($A$2:$A$501,A501,$B$2:$B$501,B501)&lt;&gt;1,"DUPLICATE_ID","OK")))</x:f>
      </x:c>
      <x:c r="AL501" s="9" t="str">
        <x:f>IF(A501="","",IF(AND(AK501="OK",J501="READY",F501&lt;&gt;"",G501&lt;&gt;"",K501&lt;&gt;"",OR(L501="PASS",L501="FAIL"),M501&lt;&gt;"",P501="social-publication-v2"),"YES","NO"))</x:f>
      </x:c>
      <x:c r="AM501" s="9" t="str">
        <x:f>IF(A501="","",IF(AND(AK501="OK",J501="READY",F501&lt;&gt;"",G501&lt;&gt;"",K501&lt;&gt;"",S501="OK",OR(R501="PASS",R501="FAIL")),"YES","NO"))</x:f>
      </x:c>
      <x:c r="AN501" s="9" t="str">
        <x:f>IF(A501="","",F501&amp;" | "&amp;G501&amp;" | "&amp;H501&amp;" | "&amp;I501)</x:f>
      </x:c>
    </x:row>
  </x:sheetData>
  <x:conditionalFormatting sqref="L2:L501">
    <x:cfRule type="expression" dxfId="0" priority="1">
      <x:formula>L2="FAIL"</x:formula>
    </x:cfRule>
    <x:cfRule type="expression" dxfId="1" priority="2">
      <x:formula>L2="PASS"</x:formula>
    </x:cfRule>
  </x:conditionalFormatting>
  <x:conditionalFormatting sqref="R2:R501">
    <x:cfRule type="expression" dxfId="2" priority="3">
      <x:formula>R2="FAIL"</x:formula>
    </x:cfRule>
    <x:cfRule type="expression" dxfId="3" priority="4">
      <x:formula>R2="PASS"</x:formula>
    </x:cfRule>
  </x:conditionalFormatting>
  <x:conditionalFormatting sqref="W2:W501">
    <x:cfRule type="expression" dxfId="4" priority="5">
      <x:formula>W2="FAIL"</x:formula>
    </x:cfRule>
    <x:cfRule type="expression" dxfId="5" priority="6">
      <x:formula>W2="PASS"</x:formula>
    </x:cfRule>
  </x:conditionalFormatting>
  <x:dataValidations count="5">
    <x:dataValidation type="list" sqref="D2:D501">
      <x:formula1>"DEVELOPMENT,RESERVED"</x:formula1>
    </x:dataValidation>
    <x:dataValidation type="list" sqref="E2:E501">
      <x:formula1>"TRAIN,DEV,TEST"</x:formula1>
    </x:dataValidation>
    <x:dataValidation type="list" sqref="J2:J501">
      <x:formula1>"READY,NEEDS_CONTEXT"</x:formula1>
    </x:dataValidation>
    <x:dataValidation type="list" sqref="L2:L501">
      <x:formula1>"PASS,FAIL"</x:formula1>
    </x:dataValidation>
    <x:dataValidation type="list" sqref="P2:P501">
      <x:formula1>"social-publication-v2"</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33000183105469" hidden="0" customWidth="1"/>
    <x:col min="2" max="2" width="23.329999923706055" hidden="0" customWidth="1"/>
    <x:col min="3" max="3" width="68.88999938964844" hidden="0" customWidth="1"/>
  </x:cols>
  <x:sheetData>
    <x:row r="1" ht="33" customHeight="1">
      <x:c r="A1" s="5" t="str">
        <x:v>EVALUATION SUMMARY</x:v>
      </x:c>
      <x:c r="B1" s="5" t="str">
        <x:v>Value</x:v>
      </x:c>
      <x:c r="C1" s="5" t="str">
        <x:v>How to read it</x:v>
      </x:c>
    </x:row>
    <x:row r="2" ht="40.5" customHeight="1">
      <x:c r="A2" s="3" t="str">
        <x:v>Choose filters below</x:v>
      </x:c>
      <x:c r="B2" s="3" t="str"/>
      <x:c r="C2" s="3" t="str">
        <x:v>Counts refer to Evaluation Log; illustrative examples are excluded.</x:v>
      </x:c>
    </x:row>
    <x:row r="3" ht="31.5" customHeight="1">
      <x:c r="A3" s="3" t="str">
        <x:v>Run_ID</x:v>
      </x:c>
      <x:c r="B3" s="13" t="str">
        <x:v>imported-examples</x:v>
      </x:c>
      <x:c r="C3" s="3" t="str">
        <x:v>Exact set of posts</x:v>
      </x:c>
    </x:row>
    <x:row r="4" ht="31.5" customHeight="1">
      <x:c r="A4" s="3" t="str">
        <x:v>Judge_Version</x:v>
      </x:c>
      <x:c r="B4" s="13" t="str">
        <x:v>jev-publication-v2.0</x:v>
      </x:c>
      <x:c r="C4" s="3" t="str">
        <x:v>Freeze model/settings with this version; do not blend versions.</x:v>
      </x:c>
    </x:row>
    <x:row r="5" ht="31.5" customHeight="1">
      <x:c r="A5" s="3" t="str">
        <x:v>Generator_Split</x:v>
      </x:c>
      <x:c r="B5" s="13" t="str">
        <x:v>DEVELOPMENT</x:v>
      </x:c>
      <x:c r="C5" s="3" t="str">
        <x:v>Use RESERVED separately for the final generator check.</x:v>
      </x:c>
    </x:row>
    <x:row r="6" ht="31.5" customHeight="1">
      <x:c r="A6" s="3" t="str">
        <x:v>Judge_Split</x:v>
      </x:c>
      <x:c r="B6" s="13" t="str">
        <x:v>TEST</x:v>
      </x:c>
      <x:c r="C6" s="3" t="str">
        <x:v>Only TEST is held-out judge evidence.</x:v>
      </x:c>
    </x:row>
    <x:row r="7" ht="31.5" customHeight="1">
      <x:c r="A7" s="3" t="str">
        <x:v>Human policy</x:v>
      </x:c>
      <x:c r="B7" s="3" t="str">
        <x:v>social-publication-v2</x:v>
      </x:c>
      <x:c r="C7" s="3" t="str">
        <x:v>Human review must use this publication policy.</x:v>
      </x:c>
    </x:row>
    <x:row r="8" ht="31.5" customHeight="1">
      <x:c r="A8" s="3" t="str"/>
      <x:c r="B8" s="3" t="str"/>
      <x:c r="C8" s="3" t="str"/>
    </x:row>
    <x:row r="9" ht="31.5" customHeight="1">
      <x:c r="A9" s="12" t="str">
        <x:v>GENERATOR QUALITY</x:v>
      </x:c>
      <x:c r="B9" s="12" t="str"/>
      <x:c r="C9" s="12" t="str">
        <x:v>Human labels, separately from judge agreement.</x:v>
      </x:c>
    </x:row>
    <x:row r="10" ht="31.5" customHeight="1">
      <x:c r="A10" s="3" t="str">
        <x:v>Rows / generation attempts</x:v>
      </x:c>
      <x:c r="B10" s="3" t="n">
        <x:f>COUNTIFS('Evaluation Log'!$B$2:$B$501,$B$3,'Evaluation Log'!$D$2:$D$501,$B$5)</x:f>
        <x:v>12</x:v>
      </x:c>
      <x:c r="C10" s="3" t="str">
        <x:v>Includes missing reviews and generation errors.</x:v>
      </x:c>
    </x:row>
    <x:row r="11" ht="31.5" customHeight="1">
      <x:c r="A11" s="3" t="str">
        <x:v>Complete human labels</x:v>
      </x:c>
      <x:c r="B11" s="3" t="n">
        <x:f>COUNTIFS('Evaluation Log'!$B$2:$B$501,$B$3,'Evaluation Log'!$D$2:$D$501,$B$5,'Evaluation Log'!$AL$2:$AL$501,"YES",'Evaluation Log'!$P$2:$P$501,$B$7)</x:f>
        <x:v>0</x:v>
      </x:c>
      <x:c r="C11" s="3" t="str">
        <x:v>Unique IDs, complete context, post, decision, critique and matching policy.</x:v>
      </x:c>
    </x:row>
    <x:row r="12" ht="31.5" customHeight="1">
      <x:c r="A12" s="3" t="str">
        <x:v>Human PASS</x:v>
      </x:c>
      <x:c r="B12" s="3" t="n">
        <x:f>COUNTIFS('Evaluation Log'!$B$2:$B$501,$B$3,'Evaluation Log'!$D$2:$D$501,$B$5,'Evaluation Log'!$AL$2:$AL$501,"YES",'Evaluation Log'!$P$2:$P$501,$B$7,'Evaluation Log'!$L$2:$L$501,"PASS")</x:f>
        <x:v>0</x:v>
      </x:c>
      <x:c r="C12" s="3" t="str">
        <x:v>Exact posts accepted by the human reviewer.</x:v>
      </x:c>
    </x:row>
    <x:row r="13" ht="31.5" customHeight="1">
      <x:c r="A13" s="3" t="str">
        <x:v>Human FAIL</x:v>
      </x:c>
      <x:c r="B13" s="3" t="n">
        <x:f>COUNTIFS('Evaluation Log'!$B$2:$B$501,$B$3,'Evaluation Log'!$D$2:$D$501,$B$5,'Evaluation Log'!$AL$2:$AL$501,"YES",'Evaluation Log'!$P$2:$P$501,$B$7,'Evaluation Log'!$L$2:$L$501,"FAIL")</x:f>
        <x:v>0</x:v>
      </x:c>
      <x:c r="C13" s="3" t="str">
        <x:v>Material publication blockers.</x:v>
      </x:c>
    </x:row>
    <x:row r="14" ht="31.5" customHeight="1">
      <x:c r="A14" s="3" t="str">
        <x:v>Human pass rate</x:v>
      </x:c>
      <x:c r="B14" s="10" t="str">
        <x:f>IF(B11=0,"not estimable",B12/B11)</x:f>
        <x:v>not estimable</x:v>
      </x:c>
      <x:c r="C14" s="3" t="str">
        <x:v>PASS / complete human labels. Read coverage alongside this rate.</x:v>
      </x:c>
    </x:row>
    <x:row r="15" ht="31.5" customHeight="1">
      <x:c r="A15" s="3" t="str">
        <x:v>Human review coverage</x:v>
      </x:c>
      <x:c r="B15" s="10" t="n">
        <x:f>IF(B10=0,"not estimable",B11/B10)</x:f>
        <x:v>0</x:v>
      </x:c>
      <x:c r="C15" s="3" t="str">
        <x:v>Complete human labels / attempted rows.</x:v>
      </x:c>
    </x:row>
    <x:row r="16" ht="31.5" customHeight="1">
      <x:c r="A16" s="3" t="str">
        <x:v>Generation errors</x:v>
      </x:c>
      <x:c r="B16" s="3" t="n">
        <x:f>COUNTIFS('Evaluation Log'!$B$2:$B$501,$B$3,'Evaluation Log'!$D$2:$D$501,$B$5,'Evaluation Log'!$AF$2:$AF$501,"ERROR")</x:f>
        <x:v>0</x:v>
      </x:c>
      <x:c r="C16" s="3" t="str">
        <x:v>Investigate failures; do not hide empty outputs.</x:v>
      </x:c>
    </x:row>
    <x:row r="17" ht="31.5" customHeight="1">
      <x:c r="A17" s="3" t="str">
        <x:v>Rows needing context</x:v>
      </x:c>
      <x:c r="B17" s="3" t="n">
        <x:f>COUNTIFS('Evaluation Log'!$B$2:$B$501,$B$3,'Evaluation Log'!$D$2:$D$501,$B$5,'Evaluation Log'!$J$2:$J$501,"NEEDS_CONTEXT")</x:f>
        <x:v>12</x:v>
      </x:c>
      <x:c r="C17" s="3" t="str">
        <x:v>No publication decision until evaluation context is supplied.</x:v>
      </x:c>
    </x:row>
    <x:row r="18" ht="31.5" customHeight="1">
      <x:c r="A18" s="3" t="str"/>
      <x:c r="B18" s="3" t="str"/>
      <x:c r="C18" s="3" t="str"/>
    </x:row>
    <x:row r="19" ht="31.5" customHeight="1">
      <x:c r="A19" s="12" t="str">
        <x:v>JUDGE VALIDATION</x:v>
      </x:c>
      <x:c r="B19" s="12" t="str"/>
      <x:c r="C19" s="12" t="str">
        <x:v>Human labels are the reference; Jev is the prediction.</x:v>
      </x:c>
    </x:row>
    <x:row r="20" ht="31.5" customHeight="1">
      <x:c r="A20" s="3" t="str">
        <x:v>Rows in selected judge run/split</x:v>
      </x:c>
      <x:c r="B20" s="3" t="n">
        <x:f>COUNTIFS('Evaluation Log'!$B$2:$B$501,$B$3,'Evaluation Log'!$Q$2:$Q$501,$B$4,'Evaluation Log'!$E$2:$E$501,$B$6)</x:f>
        <x:v>0</x:v>
      </x:c>
      <x:c r="C20" s="3" t="str">
        <x:v>Includes failed, skipped and incomplete judge calls.</x:v>
      </x:c>
    </x:row>
    <x:row r="21" ht="31.5" customHeight="1">
      <x:c r="A21" s="3" t="str">
        <x:v>Complete human labels</x:v>
      </x:c>
      <x:c r="B21" s="3" t="n">
        <x:f>COUNTIFS('Evaluation Log'!$B$2:$B$501,$B$3,'Evaluation Log'!$Q$2:$Q$501,$B$4,'Evaluation Log'!$E$2:$E$501,$B$6,'Evaluation Log'!$AL$2:$AL$501,"YES",'Evaluation Log'!$P$2:$P$501,$B$7)</x:f>
        <x:v>0</x:v>
      </x:c>
      <x:c r="C21" s="3" t="str">
        <x:v>Same policy and exact outputs; independent human critique required.</x:v>
      </x:c>
    </x:row>
    <x:row r="22" ht="31.5" customHeight="1">
      <x:c r="A22" s="3" t="str">
        <x:v>Valid Jev decisions</x:v>
      </x:c>
      <x:c r="B22" s="3" t="n">
        <x:f>COUNTIFS('Evaluation Log'!$B$2:$B$501,$B$3,'Evaluation Log'!$Q$2:$Q$501,$B$4,'Evaluation Log'!$E$2:$E$501,$B$6,'Evaluation Log'!$AM$2:$AM$501,"YES")</x:f>
        <x:v>0</x:v>
      </x:c>
      <x:c r="C22" s="3" t="str">
        <x:v>Excludes errors, ties, missing context and duplicate identities.</x:v>
      </x:c>
    </x:row>
    <x:row r="23" ht="31.5" customHeight="1">
      <x:c r="A23" s="3" t="str">
        <x:v>Compared pairs</x:v>
      </x:c>
      <x:c r="B23" s="3" t="n">
        <x:f>COUNTIFS('Evaluation Log'!$B$2:$B$501,$B$3,'Evaluation Log'!$Q$2:$Q$501,$B$4,'Evaluation Log'!$E$2:$E$501,$B$6,'Evaluation Log'!$AL$2:$AL$501,"YES",'Evaluation Log'!$P$2:$P$501,$B$7,'Evaluation Log'!$AM$2:$AM$501,"YES")</x:f>
        <x:v>0</x:v>
      </x:c>
      <x:c r="C23" s="3" t="str">
        <x:v>Both complete human label and valid Jev decision.</x:v>
      </x:c>
    </x:row>
    <x:row r="24" ht="31.5" customHeight="1">
      <x:c r="A24" s="3" t="str">
        <x:v>Human FAIL → Jev FAIL</x:v>
      </x:c>
      <x:c r="B24" s="3" t="n">
        <x:f>COUNTIFS('Evaluation Log'!$B$2:$B$501,$B$3,'Evaluation Log'!$Q$2:$Q$501,$B$4,'Evaluation Log'!$E$2:$E$501,$B$6,'Evaluation Log'!$AL$2:$AL$501,"YES",'Evaluation Log'!$P$2:$P$501,$B$7,'Evaluation Log'!$AM$2:$AM$501,"YES",'Evaluation Log'!$L$2:$L$501,"FAIL",'Evaluation Log'!$R$2:$R$501,"FAIL")</x:f>
        <x:v>0</x:v>
      </x:c>
      <x:c r="C24" s="3" t="str">
        <x:v>Detected failures.</x:v>
      </x:c>
    </x:row>
    <x:row r="25" ht="31.5" customHeight="1">
      <x:c r="A25" s="3" t="str">
        <x:v>Human FAIL → Jev PASS</x:v>
      </x:c>
      <x:c r="B25" s="3" t="n">
        <x:f>COUNTIFS('Evaluation Log'!$B$2:$B$501,$B$3,'Evaluation Log'!$Q$2:$Q$501,$B$4,'Evaluation Log'!$E$2:$E$501,$B$6,'Evaluation Log'!$AL$2:$AL$501,"YES",'Evaluation Log'!$P$2:$P$501,$B$7,'Evaluation Log'!$AM$2:$AM$501,"YES",'Evaluation Log'!$L$2:$L$501,"FAIL",'Evaluation Log'!$R$2:$R$501,"PASS")</x:f>
        <x:v>0</x:v>
      </x:c>
      <x:c r="C25" s="3" t="str">
        <x:v>False passes: missed blockers.</x:v>
      </x:c>
    </x:row>
    <x:row r="26" ht="31.5" customHeight="1">
      <x:c r="A26" s="3" t="str">
        <x:v>Human PASS → Jev PASS</x:v>
      </x:c>
      <x:c r="B26" s="3" t="n">
        <x:f>COUNTIFS('Evaluation Log'!$B$2:$B$501,$B$3,'Evaluation Log'!$Q$2:$Q$501,$B$4,'Evaluation Log'!$E$2:$E$501,$B$6,'Evaluation Log'!$AL$2:$AL$501,"YES",'Evaluation Log'!$P$2:$P$501,$B$7,'Evaluation Log'!$AM$2:$AM$501,"YES",'Evaluation Log'!$L$2:$L$501,"PASS",'Evaluation Log'!$R$2:$R$501,"PASS")</x:f>
        <x:v>0</x:v>
      </x:c>
      <x:c r="C26" s="3" t="str">
        <x:v>Accepted passes.</x:v>
      </x:c>
    </x:row>
    <x:row r="27" ht="31.5" customHeight="1">
      <x:c r="A27" s="3" t="str">
        <x:v>Human PASS → Jev FAIL</x:v>
      </x:c>
      <x:c r="B27" s="3" t="n">
        <x:f>COUNTIFS('Evaluation Log'!$B$2:$B$501,$B$3,'Evaluation Log'!$Q$2:$Q$501,$B$4,'Evaluation Log'!$E$2:$E$501,$B$6,'Evaluation Log'!$AL$2:$AL$501,"YES",'Evaluation Log'!$P$2:$P$501,$B$7,'Evaluation Log'!$AM$2:$AM$501,"YES",'Evaluation Log'!$L$2:$L$501,"PASS",'Evaluation Log'!$R$2:$R$501,"FAIL")</x:f>
        <x:v>0</x:v>
      </x:c>
      <x:c r="C27" s="3" t="str">
        <x:v>False fails: unnecessary rejection.</x:v>
      </x:c>
    </x:row>
    <x:row r="28" ht="31.5" customHeight="1">
      <x:c r="A28" s="3" t="str">
        <x:v>Fail detection rate</x:v>
      </x:c>
      <x:c r="B28" s="10" t="str">
        <x:f>IF(B24+B25=0,"not estimable",B24/(B24+B25))</x:f>
        <x:v>not estimable</x:v>
      </x:c>
      <x:c r="C28" s="3" t="str">
        <x:v>Detected failures / compared human FAIL examples.</x:v>
      </x:c>
    </x:row>
    <x:row r="29" ht="31.5" customHeight="1">
      <x:c r="A29" s="3" t="str">
        <x:v>False-pass rate</x:v>
      </x:c>
      <x:c r="B29" s="10" t="str">
        <x:f>IF(B24+B25=0,"not estimable",B25/(B24+B25))</x:f>
        <x:v>not estimable</x:v>
      </x:c>
      <x:c r="C29" s="3" t="str">
        <x:v>Missed blockers / compared human FAIL examples.</x:v>
      </x:c>
    </x:row>
    <x:row r="30" ht="31.5" customHeight="1">
      <x:c r="A30" s="3" t="str">
        <x:v>Pass acceptance rate</x:v>
      </x:c>
      <x:c r="B30" s="10" t="str">
        <x:f>IF(B26+B27=0,"not estimable",B26/(B26+B27))</x:f>
        <x:v>not estimable</x:v>
      </x:c>
      <x:c r="C30" s="3" t="str">
        <x:v>Accepted passes / compared human PASS examples.</x:v>
      </x:c>
    </x:row>
    <x:row r="31" ht="31.5" customHeight="1">
      <x:c r="A31" s="3" t="str">
        <x:v>False-fail rate</x:v>
      </x:c>
      <x:c r="B31" s="10" t="str">
        <x:f>IF(B26+B27=0,"not estimable",B27/(B26+B27))</x:f>
        <x:v>not estimable</x:v>
      </x:c>
      <x:c r="C31" s="3" t="str">
        <x:v>Rejected passes / compared human PASS examples.</x:v>
      </x:c>
    </x:row>
    <x:row r="32" ht="31.5" customHeight="1">
      <x:c r="A32" s="3" t="str">
        <x:v>Overall agreement</x:v>
      </x:c>
      <x:c r="B32" s="10" t="str">
        <x:f>IF(B23=0,"not estimable",(B24+B26)/B23)</x:f>
        <x:v>not estimable</x:v>
      </x:c>
      <x:c r="C32" s="3" t="str">
        <x:v>Can conceal class imbalance; inspect both class rates.</x:v>
      </x:c>
    </x:row>
    <x:row r="33" ht="31.5" customHeight="1">
      <x:c r="A33" s="3" t="str">
        <x:v>Judge coverage</x:v>
      </x:c>
      <x:c r="B33" s="10" t="str">
        <x:f>IF(B20=0,"not estimable",B22/B20)</x:f>
        <x:v>not estimable</x:v>
      </x:c>
      <x:c r="C33" s="3" t="str">
        <x:v>Valid decisions / selected rows.</x:v>
      </x:c>
    </x:row>
    <x:row r="34" ht="31.5" customHeight="1">
      <x:c r="A34" s="3" t="str">
        <x:v>Human-label coverage</x:v>
      </x:c>
      <x:c r="B34" s="10" t="str">
        <x:f>IF(B20=0,"not estimable",B21/B20)</x:f>
        <x:v>not estimable</x:v>
      </x:c>
      <x:c r="C34" s="3" t="str">
        <x:v>Complete human labels / selected rows.</x:v>
      </x:c>
    </x:row>
    <x:row r="35" ht="31.5" customHeight="1">
      <x:c r="A35" s="3" t="str">
        <x:v>Jev errors</x:v>
      </x:c>
      <x:c r="B35" s="3" t="n">
        <x:f>COUNTIFS('Evaluation Log'!$B$2:$B$501,$B$3,'Evaluation Log'!$Q$2:$Q$501,$B$4,'Evaluation Log'!$E$2:$E$501,$B$6,'Evaluation Log'!$S$2:$S$501,"ERROR")</x:f>
        <x:v>0</x:v>
      </x:c>
      <x:c r="C35" s="3" t="str">
        <x:v>Execution problems, never quality FAIL.</x:v>
      </x:c>
    </x:row>
    <x:row r="36" ht="31.5" customHeight="1">
      <x:c r="A36" s="3" t="str">
        <x:v>Jev skipped</x:v>
      </x:c>
      <x:c r="B36" s="3" t="n">
        <x:f>COUNTIFS('Evaluation Log'!$B$2:$B$501,$B$3,'Evaluation Log'!$Q$2:$Q$501,$B$4,'Evaluation Log'!$E$2:$E$501,$B$6,'Evaluation Log'!$S$2:$S$501,"SKIPPED")</x:f>
        <x:v>0</x:v>
      </x:c>
      <x:c r="C36" s="3" t="str">
        <x:v>Empty posts.</x:v>
      </x:c>
    </x:row>
    <x:row r="37" ht="31.5" customHeight="1">
      <x:c r="A37" s="3" t="str">
        <x:v>Jev needs context</x:v>
      </x:c>
      <x:c r="B37" s="3" t="n">
        <x:f>COUNTIFS('Evaluation Log'!$B$2:$B$501,$B$3,'Evaluation Log'!$Q$2:$Q$501,$B$4,'Evaluation Log'!$E$2:$E$501,$B$6,'Evaluation Log'!$S$2:$S$501,"NEEDS_CONTEXT")</x:f>
        <x:v>0</x:v>
      </x:c>
      <x:c r="C37" s="3" t="str">
        <x:v>Incomplete evaluation packet.</x:v>
      </x:c>
    </x:row>
    <x:row r="38" ht="31.5" customHeight="1">
      <x:c r="A38" s="3" t="str">
        <x:v>Jev ambiguous</x:v>
      </x:c>
      <x:c r="B38" s="3" t="n">
        <x:f>COUNTIFS('Evaluation Log'!$B$2:$B$501,$B$3,'Evaluation Log'!$Q$2:$Q$501,$B$4,'Evaluation Log'!$E$2:$E$501,$B$6,'Evaluation Log'!$S$2:$S$501,"AMBIGUOUS")</x:f>
        <x:v>0</x:v>
      </x:c>
      <x:c r="C38" s="3" t="str">
        <x:v>Tied distribution; publication decision stays blank.</x:v>
      </x:c>
    </x:row>
    <x:row r="39" ht="31.5" customHeight="1">
      <x:c r="A39" s="3" t="str">
        <x:v>Independent critique errors</x:v>
      </x:c>
      <x:c r="B39" s="3" t="n">
        <x:f>COUNTIFS('Evaluation Log'!$B$2:$B$501,$B$3,'Evaluation Log'!$Q$2:$Q$501,$B$4,'Evaluation Log'!$E$2:$E$501,$B$6,'Evaluation Log'!$Y$2:$Y$501,"ERROR")</x:f>
        <x:v>0</x:v>
      </x:c>
      <x:c r="C39" s="3" t="str">
        <x:v>Jev prediction may exist, but critique needs review.</x:v>
      </x:c>
    </x:row>
    <x:row r="40" ht="31.5" customHeight="1">
      <x:c r="A40" s="3" t="str">
        <x:v>Jev / LLM disagreements</x:v>
      </x:c>
      <x:c r="B40" s="3" t="n">
        <x:f>COUNTIFS('Evaluation Log'!$B$2:$B$501,$B$3,'Evaluation Log'!$Q$2:$Q$501,$B$4,'Evaluation Log'!$E$2:$E$501,$B$6,'Evaluation Log'!$AM$2:$AM$501,"YES",'Evaluation Log'!$Y$2:$Y$501,"OK",'Evaluation Log'!$R$2:$R$501,"PASS",'Evaluation Log'!$W$2:$W$501,"FAIL")+COUNTIFS('Evaluation Log'!$B$2:$B$501,$B$3,'Evaluation Log'!$Q$2:$Q$501,$B$4,'Evaluation Log'!$E$2:$E$501,$B$6,'Evaluation Log'!$AM$2:$AM$501,"YES",'Evaluation Log'!$Y$2:$Y$501,"OK",'Evaluation Log'!$R$2:$R$501,"FAIL",'Evaluation Log'!$W$2:$W$501,"PASS")</x:f>
        <x:v>0</x:v>
      </x:c>
      <x:c r="C40" s="3" t="str">
        <x:v>Two model opinions; human evidence adjudicates.</x:v>
      </x:c>
    </x:row>
    <x:row r="41" ht="31.5" customHeight="1">
      <x:c r="A41" s="3" t="str"/>
      <x:c r="B41" s="3" t="str"/>
      <x:c r="C41" s="3" t="str"/>
    </x:row>
    <x:row r="42" ht="31.5" customHeight="1">
      <x:c r="A42" s="3" t="str">
        <x:v>Interpretation</x:v>
      </x:c>
      <x:c r="B42" s="3" t="str"/>
      <x:c r="C42" s="3" t="str">
        <x:v>Twelve TEST examples demonstrate the method only. Report sample/class counts and uncertainty. No universal approval threshold is implied.</x:v>
      </x:c>
    </x:row>
  </x:sheetData>
  <x:dataValidations count="2">
    <x:dataValidation type="list" sqref="B5">
      <x:formula1>"DEVELOPMENT,RESERVED"</x:formula1>
    </x:dataValidation>
    <x:dataValidation type="list" sqref="B6">
      <x:formula1>"TRAIN,DEV,TEST"</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15.5600004196167" hidden="0" customWidth="1"/>
    <x:col min="2" max="2" width="12.220000267028809" hidden="0" customWidth="1"/>
    <x:col min="3" max="3" width="12.220000267028809" hidden="0" customWidth="1"/>
    <x:col min="4" max="4" width="15.5600004196167" hidden="0" customWidth="1"/>
    <x:col min="5" max="5" width="15.5600004196167" hidden="0" customWidth="1"/>
    <x:col min="6" max="6" width="13.329999923706055" hidden="0" customWidth="1"/>
    <x:col min="7" max="7" width="14.4399995803833" hidden="0" customWidth="1"/>
    <x:col min="8" max="8" width="21.110000610351562" hidden="0" customWidth="1"/>
    <x:col min="9" max="9" width="46.66999816894531" hidden="0" customWidth="1"/>
  </x:cols>
  <x:sheetData>
    <x:row r="1" ht="33" customHeight="1">
      <x:c r="A1" s="5" t="str">
        <x:v>GENERATOR REGRESSION CHECK</x:v>
      </x:c>
      <x:c r="B1" s="5" t="str"/>
      <x:c r="C1" s="5" t="str"/>
      <x:c r="D1" s="5" t="str"/>
      <x:c r="E1" s="5" t="str"/>
      <x:c r="F1" s="5" t="str"/>
      <x:c r="G1" s="5" t="str"/>
      <x:c r="H1" s="5" t="str"/>
      <x:c r="I1" s="5" t="str"/>
    </x:row>
    <x:row r="2" ht="52.5" customHeight="1">
      <x:c r="A2" s="3" t="str">
        <x:v>Keep policy/briefs fixed; review both exact outputs. Add stable case IDs in column A.</x:v>
      </x:c>
      <x:c r="B2" s="3" t="str"/>
      <x:c r="C2" s="3" t="str"/>
      <x:c r="D2" s="3" t="str"/>
      <x:c r="E2" s="3" t="str"/>
      <x:c r="F2" s="3" t="str"/>
      <x:c r="G2" s="3" t="str"/>
      <x:c r="H2" s="3" t="str"/>
      <x:c r="I2" s="3" t="str"/>
    </x:row>
    <x:row r="3" ht="33" customHeight="1">
      <x:c r="A3" s="3" t="str">
        <x:v>Baseline Run_ID</x:v>
      </x:c>
      <x:c r="B3" s="13" t="str">
        <x:v>baseline</x:v>
      </x:c>
      <x:c r="C3" s="3" t="str"/>
      <x:c r="D3" s="3" t="str"/>
      <x:c r="E3" s="3" t="str"/>
      <x:c r="F3" s="3" t="str"/>
      <x:c r="G3" s="3" t="str"/>
      <x:c r="H3" s="3" t="str"/>
      <x:c r="I3" s="3" t="str"/>
    </x:row>
    <x:row r="4" ht="33" customHeight="1">
      <x:c r="A4" s="3" t="str">
        <x:v>Revised Run_ID</x:v>
      </x:c>
      <x:c r="B4" s="13" t="str">
        <x:v>revised</x:v>
      </x:c>
      <x:c r="C4" s="3" t="str"/>
      <x:c r="D4" s="3" t="str"/>
      <x:c r="E4" s="3" t="str"/>
      <x:c r="F4" s="3" t="str"/>
      <x:c r="G4" s="3" t="str"/>
      <x:c r="H4" s="3" t="str"/>
      <x:c r="I4" s="3" t="str"/>
    </x:row>
    <x:row r="5" ht="33" customHeight="1">
      <x:c r="A5" s="3" t="str">
        <x:v>Generator_Split</x:v>
      </x:c>
      <x:c r="B5" s="13" t="str">
        <x:v>DEVELOPMENT</x:v>
      </x:c>
      <x:c r="C5" s="3" t="str"/>
      <x:c r="D5" s="3" t="str"/>
      <x:c r="E5" s="3" t="str"/>
      <x:c r="F5" s="3" t="str"/>
      <x:c r="G5" s="3" t="str"/>
      <x:c r="H5" s="3" t="str"/>
      <x:c r="I5" s="3" t="str"/>
    </x:row>
    <x:row r="6" ht="33" customHeight="1">
      <x:c r="A6" s="3" t="str">
        <x:v>Human policy</x:v>
      </x:c>
      <x:c r="B6" s="3" t="str">
        <x:v>social-publication-v2</x:v>
      </x:c>
      <x:c r="C6" s="3" t="str"/>
      <x:c r="D6" s="3" t="str"/>
      <x:c r="E6" s="3" t="str"/>
      <x:c r="F6" s="3" t="str"/>
      <x:c r="G6" s="3" t="str"/>
      <x:c r="H6" s="3" t="str"/>
      <x:c r="I6" s="3" t="str"/>
    </x:row>
    <x:row r="7" ht="33" customHeight="1">
      <x:c r="A7" s="3" t="str"/>
      <x:c r="B7" s="3" t="str"/>
      <x:c r="C7" s="3" t="str"/>
      <x:c r="D7" s="3" t="str"/>
      <x:c r="E7" s="3" t="str"/>
      <x:c r="F7" s="3" t="str"/>
      <x:c r="G7" s="3" t="str"/>
      <x:c r="H7" s="3" t="str"/>
      <x:c r="I7" s="3" t="str"/>
    </x:row>
    <x:row r="8" ht="39" customHeight="1">
      <x:c r="A8" s="14" t="str">
        <x:v>Test_ID</x:v>
      </x:c>
      <x:c r="B8" s="14" t="str">
        <x:v>Baseline rows</x:v>
      </x:c>
      <x:c r="C8" s="14" t="str">
        <x:v>Revised rows</x:v>
      </x:c>
      <x:c r="D8" s="14" t="str">
        <x:v>Baseline human</x:v>
      </x:c>
      <x:c r="E8" s="14" t="str">
        <x:v>Revised human</x:v>
      </x:c>
      <x:c r="F8" s="14" t="str">
        <x:v>Same brief?</x:v>
      </x:c>
      <x:c r="G8" s="14" t="str">
        <x:v>Post changed?</x:v>
      </x:c>
      <x:c r="H8" s="14" t="str">
        <x:v>Outcome</x:v>
      </x:c>
      <x:c r="I8" s="14" t="str">
        <x:v>Evidence / next action</x:v>
      </x:c>
    </x:row>
    <x:row r="9" ht="33" customHeight="1">
      <x:c r="A9" s="3" t="str">
        <x:v>POST_004</x:v>
      </x:c>
      <x:c r="B9" s="3" t="n">
        <x:f>IF(A9="","",COUNTIFS('Evaluation Log'!$A$2:$A$501,$A9,'Evaluation Log'!$B$2:$B$501,$B$3))</x:f>
        <x:v>0</x:v>
      </x:c>
      <x:c r="C9" s="3" t="n">
        <x:f>IF(A9="","",COUNTIFS('Evaluation Log'!$A$2:$A$501,$A9,'Evaluation Log'!$B$2:$B$501,$B$4))</x:f>
        <x:v>0</x:v>
      </x:c>
      <x:c r="D9" s="3" t="str">
        <x:f>IF(A9="","",IF(OR(B9&lt;&gt;1,C9&lt;&gt;1),"CHECK_IDS",IFERROR(IF(AND(_xlfn.XLOOKUP($A9&amp;"|"&amp;$B$3,'Evaluation Log'!$AJ$2:$AJ$501,'Evaluation Log'!$AL$2:$AL$501,"MISSING",0)="YES",_xlfn.XLOOKUP($A9&amp;"|"&amp;$B$3,'Evaluation Log'!$AJ$2:$AJ$501,'Evaluation Log'!$P$2:$P$501,"MISSING",0)=$B$6,_xlfn.XLOOKUP($A9&amp;"|"&amp;$B$3,'Evaluation Log'!$AJ$2:$AJ$501,'Evaluation Log'!$D$2:$D$501,"MISSING",0)=$B$5),_xlfn.XLOOKUP($A9&amp;"|"&amp;$B$3,'Evaluation Log'!$AJ$2:$AJ$501,'Evaluation Log'!$L$2:$L$501,"MISSING",0),"NOT_REVIEWED"),"MISSING")))</x:f>
        <x:v>CHECK_IDS</x:v>
      </x:c>
      <x:c r="E9" s="3" t="str">
        <x:f>IF(A9="","",IF(OR(B9&lt;&gt;1,C9&lt;&gt;1),"CHECK_IDS",IFERROR(IF(AND(_xlfn.XLOOKUP($A9&amp;"|"&amp;$B$4,'Evaluation Log'!$AJ$2:$AJ$501,'Evaluation Log'!$AL$2:$AL$501,"MISSING",0)="YES",_xlfn.XLOOKUP($A9&amp;"|"&amp;$B$4,'Evaluation Log'!$AJ$2:$AJ$501,'Evaluation Log'!$P$2:$P$501,"MISSING",0)=$B$6,_xlfn.XLOOKUP($A9&amp;"|"&amp;$B$4,'Evaluation Log'!$AJ$2:$AJ$501,'Evaluation Log'!$D$2:$D$501,"MISSING",0)=$B$5),_xlfn.XLOOKUP($A9&amp;"|"&amp;$B$4,'Evaluation Log'!$AJ$2:$AJ$501,'Evaluation Log'!$L$2:$L$501,"MISSING",0),"NOT_REVIEWED"),"MISSING")))</x:f>
        <x:v>CHECK_IDS</x:v>
      </x:c>
      <x:c r="F9" s="3" t="str">
        <x:f>IF(A9="","",IF(OR(B9&lt;&gt;1,C9&lt;&gt;1),"MISSING",IFERROR(IF(_xlfn.XLOOKUP($A9&amp;"|"&amp;$B$3,'Evaluation Log'!$AJ$2:$AJ$501,'Evaluation Log'!$AN$2:$AN$501,"MISSING",0)=_xlfn.XLOOKUP($A9&amp;"|"&amp;$B$4,'Evaluation Log'!$AJ$2:$AJ$501,'Evaluation Log'!$AN$2:$AN$501,"MISSING",0),"YES","NO"),"MISSING")))</x:f>
        <x:v>MISSING</x:v>
      </x:c>
      <x:c r="G9" s="3" t="str">
        <x:f>IF(A9="","",IF(OR(B9&lt;&gt;1,C9&lt;&gt;1),"MISSING",IFERROR(IF(_xlfn.XLOOKUP($A9&amp;"|"&amp;$B$3,'Evaluation Log'!$AJ$2:$AJ$501,'Evaluation Log'!$K$2:$K$501,"MISSING",0)=_xlfn.XLOOKUP($A9&amp;"|"&amp;$B$4,'Evaluation Log'!$AJ$2:$AJ$501,'Evaluation Log'!$K$2:$K$501,"MISSING",0),"NO","YES"),"MISSING")))</x:f>
        <x:v>MISSING</x:v>
      </x:c>
      <x:c r="H9" s="3" t="str">
        <x:f>IF(A9="","",IF(OR(B9&lt;&gt;1,C9&lt;&gt;1),"CHECK_IDS",IF(F9&lt;&gt;"YES","CHANGED_BRIEF",IF(OR(AND(D9&lt;&gt;"PASS",D9&lt;&gt;"FAIL"),AND(E9&lt;&gt;"PASS",E9&lt;&gt;"FAIL")),"NOT_REVIEWED",IF(G9&lt;&gt;"YES","UNCHANGED_POST",D9&amp;"_TO_"&amp;E9)))))</x:f>
        <x:v>CHECK_IDS</x:v>
      </x:c>
      <x:c r="I9" s="3" t="str"/>
    </x:row>
    <x:row r="10" ht="33" customHeight="1">
      <x:c r="A10" s="3" t="str">
        <x:v>POST_001</x:v>
      </x:c>
      <x:c r="B10" s="3" t="n">
        <x:f>IF(A10="","",COUNTIFS('Evaluation Log'!$A$2:$A$501,$A10,'Evaluation Log'!$B$2:$B$501,$B$3))</x:f>
        <x:v>0</x:v>
      </x:c>
      <x:c r="C10" s="3" t="n">
        <x:f>IF(A10="","",COUNTIFS('Evaluation Log'!$A$2:$A$501,$A10,'Evaluation Log'!$B$2:$B$501,$B$4))</x:f>
        <x:v>0</x:v>
      </x:c>
      <x:c r="D10" s="3" t="str">
        <x:f>IF(A10="","",IF(OR(B10&lt;&gt;1,C10&lt;&gt;1),"CHECK_IDS",IFERROR(IF(AND(_xlfn.XLOOKUP($A10&amp;"|"&amp;$B$3,'Evaluation Log'!$AJ$2:$AJ$501,'Evaluation Log'!$AL$2:$AL$501,"MISSING",0)="YES",_xlfn.XLOOKUP($A10&amp;"|"&amp;$B$3,'Evaluation Log'!$AJ$2:$AJ$501,'Evaluation Log'!$P$2:$P$501,"MISSING",0)=$B$6,_xlfn.XLOOKUP($A10&amp;"|"&amp;$B$3,'Evaluation Log'!$AJ$2:$AJ$501,'Evaluation Log'!$D$2:$D$501,"MISSING",0)=$B$5),_xlfn.XLOOKUP($A10&amp;"|"&amp;$B$3,'Evaluation Log'!$AJ$2:$AJ$501,'Evaluation Log'!$L$2:$L$501,"MISSING",0),"NOT_REVIEWED"),"MISSING")))</x:f>
        <x:v>CHECK_IDS</x:v>
      </x:c>
      <x:c r="E10" s="3" t="str">
        <x:f>IF(A10="","",IF(OR(B10&lt;&gt;1,C10&lt;&gt;1),"CHECK_IDS",IFERROR(IF(AND(_xlfn.XLOOKUP($A10&amp;"|"&amp;$B$4,'Evaluation Log'!$AJ$2:$AJ$501,'Evaluation Log'!$AL$2:$AL$501,"MISSING",0)="YES",_xlfn.XLOOKUP($A10&amp;"|"&amp;$B$4,'Evaluation Log'!$AJ$2:$AJ$501,'Evaluation Log'!$P$2:$P$501,"MISSING",0)=$B$6,_xlfn.XLOOKUP($A10&amp;"|"&amp;$B$4,'Evaluation Log'!$AJ$2:$AJ$501,'Evaluation Log'!$D$2:$D$501,"MISSING",0)=$B$5),_xlfn.XLOOKUP($A10&amp;"|"&amp;$B$4,'Evaluation Log'!$AJ$2:$AJ$501,'Evaluation Log'!$L$2:$L$501,"MISSING",0),"NOT_REVIEWED"),"MISSING")))</x:f>
        <x:v>CHECK_IDS</x:v>
      </x:c>
      <x:c r="F10" s="3" t="str">
        <x:f>IF(A10="","",IF(OR(B10&lt;&gt;1,C10&lt;&gt;1),"MISSING",IFERROR(IF(_xlfn.XLOOKUP($A10&amp;"|"&amp;$B$3,'Evaluation Log'!$AJ$2:$AJ$501,'Evaluation Log'!$AN$2:$AN$501,"MISSING",0)=_xlfn.XLOOKUP($A10&amp;"|"&amp;$B$4,'Evaluation Log'!$AJ$2:$AJ$501,'Evaluation Log'!$AN$2:$AN$501,"MISSING",0),"YES","NO"),"MISSING")))</x:f>
        <x:v>MISSING</x:v>
      </x:c>
      <x:c r="G10" s="3" t="str">
        <x:f>IF(A10="","",IF(OR(B10&lt;&gt;1,C10&lt;&gt;1),"MISSING",IFERROR(IF(_xlfn.XLOOKUP($A10&amp;"|"&amp;$B$3,'Evaluation Log'!$AJ$2:$AJ$501,'Evaluation Log'!$K$2:$K$501,"MISSING",0)=_xlfn.XLOOKUP($A10&amp;"|"&amp;$B$4,'Evaluation Log'!$AJ$2:$AJ$501,'Evaluation Log'!$K$2:$K$501,"MISSING",0),"NO","YES"),"MISSING")))</x:f>
        <x:v>MISSING</x:v>
      </x:c>
      <x:c r="H10" s="3" t="str">
        <x:f>IF(A10="","",IF(OR(B10&lt;&gt;1,C10&lt;&gt;1),"CHECK_IDS",IF(F10&lt;&gt;"YES","CHANGED_BRIEF",IF(OR(AND(D10&lt;&gt;"PASS",D10&lt;&gt;"FAIL"),AND(E10&lt;&gt;"PASS",E10&lt;&gt;"FAIL")),"NOT_REVIEWED",IF(G10&lt;&gt;"YES","UNCHANGED_POST",D10&amp;"_TO_"&amp;E10)))))</x:f>
        <x:v>CHECK_IDS</x:v>
      </x:c>
      <x:c r="I10" s="3" t="str"/>
    </x:row>
    <x:row r="11" ht="33" customHeight="1">
      <x:c r="A11" s="3" t="str">
        <x:v>POST_002</x:v>
      </x:c>
      <x:c r="B11" s="3" t="n">
        <x:f>IF(A11="","",COUNTIFS('Evaluation Log'!$A$2:$A$501,$A11,'Evaluation Log'!$B$2:$B$501,$B$3))</x:f>
        <x:v>0</x:v>
      </x:c>
      <x:c r="C11" s="3" t="n">
        <x:f>IF(A11="","",COUNTIFS('Evaluation Log'!$A$2:$A$501,$A11,'Evaluation Log'!$B$2:$B$501,$B$4))</x:f>
        <x:v>0</x:v>
      </x:c>
      <x:c r="D11" s="3" t="str">
        <x:f>IF(A11="","",IF(OR(B11&lt;&gt;1,C11&lt;&gt;1),"CHECK_IDS",IFERROR(IF(AND(_xlfn.XLOOKUP($A11&amp;"|"&amp;$B$3,'Evaluation Log'!$AJ$2:$AJ$501,'Evaluation Log'!$AL$2:$AL$501,"MISSING",0)="YES",_xlfn.XLOOKUP($A11&amp;"|"&amp;$B$3,'Evaluation Log'!$AJ$2:$AJ$501,'Evaluation Log'!$P$2:$P$501,"MISSING",0)=$B$6,_xlfn.XLOOKUP($A11&amp;"|"&amp;$B$3,'Evaluation Log'!$AJ$2:$AJ$501,'Evaluation Log'!$D$2:$D$501,"MISSING",0)=$B$5),_xlfn.XLOOKUP($A11&amp;"|"&amp;$B$3,'Evaluation Log'!$AJ$2:$AJ$501,'Evaluation Log'!$L$2:$L$501,"MISSING",0),"NOT_REVIEWED"),"MISSING")))</x:f>
        <x:v>CHECK_IDS</x:v>
      </x:c>
      <x:c r="E11" s="3" t="str">
        <x:f>IF(A11="","",IF(OR(B11&lt;&gt;1,C11&lt;&gt;1),"CHECK_IDS",IFERROR(IF(AND(_xlfn.XLOOKUP($A11&amp;"|"&amp;$B$4,'Evaluation Log'!$AJ$2:$AJ$501,'Evaluation Log'!$AL$2:$AL$501,"MISSING",0)="YES",_xlfn.XLOOKUP($A11&amp;"|"&amp;$B$4,'Evaluation Log'!$AJ$2:$AJ$501,'Evaluation Log'!$P$2:$P$501,"MISSING",0)=$B$6,_xlfn.XLOOKUP($A11&amp;"|"&amp;$B$4,'Evaluation Log'!$AJ$2:$AJ$501,'Evaluation Log'!$D$2:$D$501,"MISSING",0)=$B$5),_xlfn.XLOOKUP($A11&amp;"|"&amp;$B$4,'Evaluation Log'!$AJ$2:$AJ$501,'Evaluation Log'!$L$2:$L$501,"MISSING",0),"NOT_REVIEWED"),"MISSING")))</x:f>
        <x:v>CHECK_IDS</x:v>
      </x:c>
      <x:c r="F11" s="3" t="str">
        <x:f>IF(A11="","",IF(OR(B11&lt;&gt;1,C11&lt;&gt;1),"MISSING",IFERROR(IF(_xlfn.XLOOKUP($A11&amp;"|"&amp;$B$3,'Evaluation Log'!$AJ$2:$AJ$501,'Evaluation Log'!$AN$2:$AN$501,"MISSING",0)=_xlfn.XLOOKUP($A11&amp;"|"&amp;$B$4,'Evaluation Log'!$AJ$2:$AJ$501,'Evaluation Log'!$AN$2:$AN$501,"MISSING",0),"YES","NO"),"MISSING")))</x:f>
        <x:v>MISSING</x:v>
      </x:c>
      <x:c r="G11" s="3" t="str">
        <x:f>IF(A11="","",IF(OR(B11&lt;&gt;1,C11&lt;&gt;1),"MISSING",IFERROR(IF(_xlfn.XLOOKUP($A11&amp;"|"&amp;$B$3,'Evaluation Log'!$AJ$2:$AJ$501,'Evaluation Log'!$K$2:$K$501,"MISSING",0)=_xlfn.XLOOKUP($A11&amp;"|"&amp;$B$4,'Evaluation Log'!$AJ$2:$AJ$501,'Evaluation Log'!$K$2:$K$501,"MISSING",0),"NO","YES"),"MISSING")))</x:f>
        <x:v>MISSING</x:v>
      </x:c>
      <x:c r="H11" s="3" t="str">
        <x:f>IF(A11="","",IF(OR(B11&lt;&gt;1,C11&lt;&gt;1),"CHECK_IDS",IF(F11&lt;&gt;"YES","CHANGED_BRIEF",IF(OR(AND(D11&lt;&gt;"PASS",D11&lt;&gt;"FAIL"),AND(E11&lt;&gt;"PASS",E11&lt;&gt;"FAIL")),"NOT_REVIEWED",IF(G11&lt;&gt;"YES","UNCHANGED_POST",D11&amp;"_TO_"&amp;E11)))))</x:f>
        <x:v>CHECK_IDS</x:v>
      </x:c>
      <x:c r="I11" s="3" t="str"/>
    </x:row>
    <x:row r="12" ht="33" customHeight="1">
      <x:c r="A12" s="3" t="str">
        <x:v>POST_003</x:v>
      </x:c>
      <x:c r="B12" s="3" t="n">
        <x:f>IF(A12="","",COUNTIFS('Evaluation Log'!$A$2:$A$501,$A12,'Evaluation Log'!$B$2:$B$501,$B$3))</x:f>
        <x:v>0</x:v>
      </x:c>
      <x:c r="C12" s="3" t="n">
        <x:f>IF(A12="","",COUNTIFS('Evaluation Log'!$A$2:$A$501,$A12,'Evaluation Log'!$B$2:$B$501,$B$4))</x:f>
        <x:v>0</x:v>
      </x:c>
      <x:c r="D12" s="3" t="str">
        <x:f>IF(A12="","",IF(OR(B12&lt;&gt;1,C12&lt;&gt;1),"CHECK_IDS",IFERROR(IF(AND(_xlfn.XLOOKUP($A12&amp;"|"&amp;$B$3,'Evaluation Log'!$AJ$2:$AJ$501,'Evaluation Log'!$AL$2:$AL$501,"MISSING",0)="YES",_xlfn.XLOOKUP($A12&amp;"|"&amp;$B$3,'Evaluation Log'!$AJ$2:$AJ$501,'Evaluation Log'!$P$2:$P$501,"MISSING",0)=$B$6,_xlfn.XLOOKUP($A12&amp;"|"&amp;$B$3,'Evaluation Log'!$AJ$2:$AJ$501,'Evaluation Log'!$D$2:$D$501,"MISSING",0)=$B$5),_xlfn.XLOOKUP($A12&amp;"|"&amp;$B$3,'Evaluation Log'!$AJ$2:$AJ$501,'Evaluation Log'!$L$2:$L$501,"MISSING",0),"NOT_REVIEWED"),"MISSING")))</x:f>
        <x:v>CHECK_IDS</x:v>
      </x:c>
      <x:c r="E12" s="3" t="str">
        <x:f>IF(A12="","",IF(OR(B12&lt;&gt;1,C12&lt;&gt;1),"CHECK_IDS",IFERROR(IF(AND(_xlfn.XLOOKUP($A12&amp;"|"&amp;$B$4,'Evaluation Log'!$AJ$2:$AJ$501,'Evaluation Log'!$AL$2:$AL$501,"MISSING",0)="YES",_xlfn.XLOOKUP($A12&amp;"|"&amp;$B$4,'Evaluation Log'!$AJ$2:$AJ$501,'Evaluation Log'!$P$2:$P$501,"MISSING",0)=$B$6,_xlfn.XLOOKUP($A12&amp;"|"&amp;$B$4,'Evaluation Log'!$AJ$2:$AJ$501,'Evaluation Log'!$D$2:$D$501,"MISSING",0)=$B$5),_xlfn.XLOOKUP($A12&amp;"|"&amp;$B$4,'Evaluation Log'!$AJ$2:$AJ$501,'Evaluation Log'!$L$2:$L$501,"MISSING",0),"NOT_REVIEWED"),"MISSING")))</x:f>
        <x:v>CHECK_IDS</x:v>
      </x:c>
      <x:c r="F12" s="3" t="str">
        <x:f>IF(A12="","",IF(OR(B12&lt;&gt;1,C12&lt;&gt;1),"MISSING",IFERROR(IF(_xlfn.XLOOKUP($A12&amp;"|"&amp;$B$3,'Evaluation Log'!$AJ$2:$AJ$501,'Evaluation Log'!$AN$2:$AN$501,"MISSING",0)=_xlfn.XLOOKUP($A12&amp;"|"&amp;$B$4,'Evaluation Log'!$AJ$2:$AJ$501,'Evaluation Log'!$AN$2:$AN$501,"MISSING",0),"YES","NO"),"MISSING")))</x:f>
        <x:v>MISSING</x:v>
      </x:c>
      <x:c r="G12" s="3" t="str">
        <x:f>IF(A12="","",IF(OR(B12&lt;&gt;1,C12&lt;&gt;1),"MISSING",IFERROR(IF(_xlfn.XLOOKUP($A12&amp;"|"&amp;$B$3,'Evaluation Log'!$AJ$2:$AJ$501,'Evaluation Log'!$K$2:$K$501,"MISSING",0)=_xlfn.XLOOKUP($A12&amp;"|"&amp;$B$4,'Evaluation Log'!$AJ$2:$AJ$501,'Evaluation Log'!$K$2:$K$501,"MISSING",0),"NO","YES"),"MISSING")))</x:f>
        <x:v>MISSING</x:v>
      </x:c>
      <x:c r="H12" s="3" t="str">
        <x:f>IF(A12="","",IF(OR(B12&lt;&gt;1,C12&lt;&gt;1),"CHECK_IDS",IF(F12&lt;&gt;"YES","CHANGED_BRIEF",IF(OR(AND(D12&lt;&gt;"PASS",D12&lt;&gt;"FAIL"),AND(E12&lt;&gt;"PASS",E12&lt;&gt;"FAIL")),"NOT_REVIEWED",IF(G12&lt;&gt;"YES","UNCHANGED_POST",D12&amp;"_TO_"&amp;E12)))))</x:f>
        <x:v>CHECK_IDS</x:v>
      </x:c>
      <x:c r="I12" s="3" t="str"/>
    </x:row>
    <x:row r="13" ht="33" customHeight="1">
      <x:c r="A13" s="3" t="str">
        <x:v>POST_005</x:v>
      </x:c>
      <x:c r="B13" s="3" t="n">
        <x:f>IF(A13="","",COUNTIFS('Evaluation Log'!$A$2:$A$501,$A13,'Evaluation Log'!$B$2:$B$501,$B$3))</x:f>
        <x:v>0</x:v>
      </x:c>
      <x:c r="C13" s="3" t="n">
        <x:f>IF(A13="","",COUNTIFS('Evaluation Log'!$A$2:$A$501,$A13,'Evaluation Log'!$B$2:$B$501,$B$4))</x:f>
        <x:v>0</x:v>
      </x:c>
      <x:c r="D13" s="3" t="str">
        <x:f>IF(A13="","",IF(OR(B13&lt;&gt;1,C13&lt;&gt;1),"CHECK_IDS",IFERROR(IF(AND(_xlfn.XLOOKUP($A13&amp;"|"&amp;$B$3,'Evaluation Log'!$AJ$2:$AJ$501,'Evaluation Log'!$AL$2:$AL$501,"MISSING",0)="YES",_xlfn.XLOOKUP($A13&amp;"|"&amp;$B$3,'Evaluation Log'!$AJ$2:$AJ$501,'Evaluation Log'!$P$2:$P$501,"MISSING",0)=$B$6,_xlfn.XLOOKUP($A13&amp;"|"&amp;$B$3,'Evaluation Log'!$AJ$2:$AJ$501,'Evaluation Log'!$D$2:$D$501,"MISSING",0)=$B$5),_xlfn.XLOOKUP($A13&amp;"|"&amp;$B$3,'Evaluation Log'!$AJ$2:$AJ$501,'Evaluation Log'!$L$2:$L$501,"MISSING",0),"NOT_REVIEWED"),"MISSING")))</x:f>
        <x:v>CHECK_IDS</x:v>
      </x:c>
      <x:c r="E13" s="3" t="str">
        <x:f>IF(A13="","",IF(OR(B13&lt;&gt;1,C13&lt;&gt;1),"CHECK_IDS",IFERROR(IF(AND(_xlfn.XLOOKUP($A13&amp;"|"&amp;$B$4,'Evaluation Log'!$AJ$2:$AJ$501,'Evaluation Log'!$AL$2:$AL$501,"MISSING",0)="YES",_xlfn.XLOOKUP($A13&amp;"|"&amp;$B$4,'Evaluation Log'!$AJ$2:$AJ$501,'Evaluation Log'!$P$2:$P$501,"MISSING",0)=$B$6,_xlfn.XLOOKUP($A13&amp;"|"&amp;$B$4,'Evaluation Log'!$AJ$2:$AJ$501,'Evaluation Log'!$D$2:$D$501,"MISSING",0)=$B$5),_xlfn.XLOOKUP($A13&amp;"|"&amp;$B$4,'Evaluation Log'!$AJ$2:$AJ$501,'Evaluation Log'!$L$2:$L$501,"MISSING",0),"NOT_REVIEWED"),"MISSING")))</x:f>
        <x:v>CHECK_IDS</x:v>
      </x:c>
      <x:c r="F13" s="3" t="str">
        <x:f>IF(A13="","",IF(OR(B13&lt;&gt;1,C13&lt;&gt;1),"MISSING",IFERROR(IF(_xlfn.XLOOKUP($A13&amp;"|"&amp;$B$3,'Evaluation Log'!$AJ$2:$AJ$501,'Evaluation Log'!$AN$2:$AN$501,"MISSING",0)=_xlfn.XLOOKUP($A13&amp;"|"&amp;$B$4,'Evaluation Log'!$AJ$2:$AJ$501,'Evaluation Log'!$AN$2:$AN$501,"MISSING",0),"YES","NO"),"MISSING")))</x:f>
        <x:v>MISSING</x:v>
      </x:c>
      <x:c r="G13" s="3" t="str">
        <x:f>IF(A13="","",IF(OR(B13&lt;&gt;1,C13&lt;&gt;1),"MISSING",IFERROR(IF(_xlfn.XLOOKUP($A13&amp;"|"&amp;$B$3,'Evaluation Log'!$AJ$2:$AJ$501,'Evaluation Log'!$K$2:$K$501,"MISSING",0)=_xlfn.XLOOKUP($A13&amp;"|"&amp;$B$4,'Evaluation Log'!$AJ$2:$AJ$501,'Evaluation Log'!$K$2:$K$501,"MISSING",0),"NO","YES"),"MISSING")))</x:f>
        <x:v>MISSING</x:v>
      </x:c>
      <x:c r="H13" s="3" t="str">
        <x:f>IF(A13="","",IF(OR(B13&lt;&gt;1,C13&lt;&gt;1),"CHECK_IDS",IF(F13&lt;&gt;"YES","CHANGED_BRIEF",IF(OR(AND(D13&lt;&gt;"PASS",D13&lt;&gt;"FAIL"),AND(E13&lt;&gt;"PASS",E13&lt;&gt;"FAIL")),"NOT_REVIEWED",IF(G13&lt;&gt;"YES","UNCHANGED_POST",D13&amp;"_TO_"&amp;E13)))))</x:f>
        <x:v>CHECK_IDS</x:v>
      </x:c>
      <x:c r="I13" s="3" t="str"/>
    </x:row>
    <x:row r="14" ht="33" customHeight="1">
      <x:c r="A14" s="3" t="str">
        <x:v>POST_006</x:v>
      </x:c>
      <x:c r="B14" s="3" t="n">
        <x:f>IF(A14="","",COUNTIFS('Evaluation Log'!$A$2:$A$501,$A14,'Evaluation Log'!$B$2:$B$501,$B$3))</x:f>
        <x:v>0</x:v>
      </x:c>
      <x:c r="C14" s="3" t="n">
        <x:f>IF(A14="","",COUNTIFS('Evaluation Log'!$A$2:$A$501,$A14,'Evaluation Log'!$B$2:$B$501,$B$4))</x:f>
        <x:v>0</x:v>
      </x:c>
      <x:c r="D14" s="3" t="str">
        <x:f>IF(A14="","",IF(OR(B14&lt;&gt;1,C14&lt;&gt;1),"CHECK_IDS",IFERROR(IF(AND(_xlfn.XLOOKUP($A14&amp;"|"&amp;$B$3,'Evaluation Log'!$AJ$2:$AJ$501,'Evaluation Log'!$AL$2:$AL$501,"MISSING",0)="YES",_xlfn.XLOOKUP($A14&amp;"|"&amp;$B$3,'Evaluation Log'!$AJ$2:$AJ$501,'Evaluation Log'!$P$2:$P$501,"MISSING",0)=$B$6,_xlfn.XLOOKUP($A14&amp;"|"&amp;$B$3,'Evaluation Log'!$AJ$2:$AJ$501,'Evaluation Log'!$D$2:$D$501,"MISSING",0)=$B$5),_xlfn.XLOOKUP($A14&amp;"|"&amp;$B$3,'Evaluation Log'!$AJ$2:$AJ$501,'Evaluation Log'!$L$2:$L$501,"MISSING",0),"NOT_REVIEWED"),"MISSING")))</x:f>
        <x:v>CHECK_IDS</x:v>
      </x:c>
      <x:c r="E14" s="3" t="str">
        <x:f>IF(A14="","",IF(OR(B14&lt;&gt;1,C14&lt;&gt;1),"CHECK_IDS",IFERROR(IF(AND(_xlfn.XLOOKUP($A14&amp;"|"&amp;$B$4,'Evaluation Log'!$AJ$2:$AJ$501,'Evaluation Log'!$AL$2:$AL$501,"MISSING",0)="YES",_xlfn.XLOOKUP($A14&amp;"|"&amp;$B$4,'Evaluation Log'!$AJ$2:$AJ$501,'Evaluation Log'!$P$2:$P$501,"MISSING",0)=$B$6,_xlfn.XLOOKUP($A14&amp;"|"&amp;$B$4,'Evaluation Log'!$AJ$2:$AJ$501,'Evaluation Log'!$D$2:$D$501,"MISSING",0)=$B$5),_xlfn.XLOOKUP($A14&amp;"|"&amp;$B$4,'Evaluation Log'!$AJ$2:$AJ$501,'Evaluation Log'!$L$2:$L$501,"MISSING",0),"NOT_REVIEWED"),"MISSING")))</x:f>
        <x:v>CHECK_IDS</x:v>
      </x:c>
      <x:c r="F14" s="3" t="str">
        <x:f>IF(A14="","",IF(OR(B14&lt;&gt;1,C14&lt;&gt;1),"MISSING",IFERROR(IF(_xlfn.XLOOKUP($A14&amp;"|"&amp;$B$3,'Evaluation Log'!$AJ$2:$AJ$501,'Evaluation Log'!$AN$2:$AN$501,"MISSING",0)=_xlfn.XLOOKUP($A14&amp;"|"&amp;$B$4,'Evaluation Log'!$AJ$2:$AJ$501,'Evaluation Log'!$AN$2:$AN$501,"MISSING",0),"YES","NO"),"MISSING")))</x:f>
        <x:v>MISSING</x:v>
      </x:c>
      <x:c r="G14" s="3" t="str">
        <x:f>IF(A14="","",IF(OR(B14&lt;&gt;1,C14&lt;&gt;1),"MISSING",IFERROR(IF(_xlfn.XLOOKUP($A14&amp;"|"&amp;$B$3,'Evaluation Log'!$AJ$2:$AJ$501,'Evaluation Log'!$K$2:$K$501,"MISSING",0)=_xlfn.XLOOKUP($A14&amp;"|"&amp;$B$4,'Evaluation Log'!$AJ$2:$AJ$501,'Evaluation Log'!$K$2:$K$501,"MISSING",0),"NO","YES"),"MISSING")))</x:f>
        <x:v>MISSING</x:v>
      </x:c>
      <x:c r="H14" s="3" t="str">
        <x:f>IF(A14="","",IF(OR(B14&lt;&gt;1,C14&lt;&gt;1),"CHECK_IDS",IF(F14&lt;&gt;"YES","CHANGED_BRIEF",IF(OR(AND(D14&lt;&gt;"PASS",D14&lt;&gt;"FAIL"),AND(E14&lt;&gt;"PASS",E14&lt;&gt;"FAIL")),"NOT_REVIEWED",IF(G14&lt;&gt;"YES","UNCHANGED_POST",D14&amp;"_TO_"&amp;E14)))))</x:f>
        <x:v>CHECK_IDS</x:v>
      </x:c>
      <x:c r="I14" s="3" t="str"/>
    </x:row>
    <x:row r="15" ht="33" customHeight="1">
      <x:c r="A15" s="3" t="str">
        <x:v>POST_007</x:v>
      </x:c>
      <x:c r="B15" s="3" t="n">
        <x:f>IF(A15="","",COUNTIFS('Evaluation Log'!$A$2:$A$501,$A15,'Evaluation Log'!$B$2:$B$501,$B$3))</x:f>
        <x:v>0</x:v>
      </x:c>
      <x:c r="C15" s="3" t="n">
        <x:f>IF(A15="","",COUNTIFS('Evaluation Log'!$A$2:$A$501,$A15,'Evaluation Log'!$B$2:$B$501,$B$4))</x:f>
        <x:v>0</x:v>
      </x:c>
      <x:c r="D15" s="3" t="str">
        <x:f>IF(A15="","",IF(OR(B15&lt;&gt;1,C15&lt;&gt;1),"CHECK_IDS",IFERROR(IF(AND(_xlfn.XLOOKUP($A15&amp;"|"&amp;$B$3,'Evaluation Log'!$AJ$2:$AJ$501,'Evaluation Log'!$AL$2:$AL$501,"MISSING",0)="YES",_xlfn.XLOOKUP($A15&amp;"|"&amp;$B$3,'Evaluation Log'!$AJ$2:$AJ$501,'Evaluation Log'!$P$2:$P$501,"MISSING",0)=$B$6,_xlfn.XLOOKUP($A15&amp;"|"&amp;$B$3,'Evaluation Log'!$AJ$2:$AJ$501,'Evaluation Log'!$D$2:$D$501,"MISSING",0)=$B$5),_xlfn.XLOOKUP($A15&amp;"|"&amp;$B$3,'Evaluation Log'!$AJ$2:$AJ$501,'Evaluation Log'!$L$2:$L$501,"MISSING",0),"NOT_REVIEWED"),"MISSING")))</x:f>
        <x:v>CHECK_IDS</x:v>
      </x:c>
      <x:c r="E15" s="3" t="str">
        <x:f>IF(A15="","",IF(OR(B15&lt;&gt;1,C15&lt;&gt;1),"CHECK_IDS",IFERROR(IF(AND(_xlfn.XLOOKUP($A15&amp;"|"&amp;$B$4,'Evaluation Log'!$AJ$2:$AJ$501,'Evaluation Log'!$AL$2:$AL$501,"MISSING",0)="YES",_xlfn.XLOOKUP($A15&amp;"|"&amp;$B$4,'Evaluation Log'!$AJ$2:$AJ$501,'Evaluation Log'!$P$2:$P$501,"MISSING",0)=$B$6,_xlfn.XLOOKUP($A15&amp;"|"&amp;$B$4,'Evaluation Log'!$AJ$2:$AJ$501,'Evaluation Log'!$D$2:$D$501,"MISSING",0)=$B$5),_xlfn.XLOOKUP($A15&amp;"|"&amp;$B$4,'Evaluation Log'!$AJ$2:$AJ$501,'Evaluation Log'!$L$2:$L$501,"MISSING",0),"NOT_REVIEWED"),"MISSING")))</x:f>
        <x:v>CHECK_IDS</x:v>
      </x:c>
      <x:c r="F15" s="3" t="str">
        <x:f>IF(A15="","",IF(OR(B15&lt;&gt;1,C15&lt;&gt;1),"MISSING",IFERROR(IF(_xlfn.XLOOKUP($A15&amp;"|"&amp;$B$3,'Evaluation Log'!$AJ$2:$AJ$501,'Evaluation Log'!$AN$2:$AN$501,"MISSING",0)=_xlfn.XLOOKUP($A15&amp;"|"&amp;$B$4,'Evaluation Log'!$AJ$2:$AJ$501,'Evaluation Log'!$AN$2:$AN$501,"MISSING",0),"YES","NO"),"MISSING")))</x:f>
        <x:v>MISSING</x:v>
      </x:c>
      <x:c r="G15" s="3" t="str">
        <x:f>IF(A15="","",IF(OR(B15&lt;&gt;1,C15&lt;&gt;1),"MISSING",IFERROR(IF(_xlfn.XLOOKUP($A15&amp;"|"&amp;$B$3,'Evaluation Log'!$AJ$2:$AJ$501,'Evaluation Log'!$K$2:$K$501,"MISSING",0)=_xlfn.XLOOKUP($A15&amp;"|"&amp;$B$4,'Evaluation Log'!$AJ$2:$AJ$501,'Evaluation Log'!$K$2:$K$501,"MISSING",0),"NO","YES"),"MISSING")))</x:f>
        <x:v>MISSING</x:v>
      </x:c>
      <x:c r="H15" s="3" t="str">
        <x:f>IF(A15="","",IF(OR(B15&lt;&gt;1,C15&lt;&gt;1),"CHECK_IDS",IF(F15&lt;&gt;"YES","CHANGED_BRIEF",IF(OR(AND(D15&lt;&gt;"PASS",D15&lt;&gt;"FAIL"),AND(E15&lt;&gt;"PASS",E15&lt;&gt;"FAIL")),"NOT_REVIEWED",IF(G15&lt;&gt;"YES","UNCHANGED_POST",D15&amp;"_TO_"&amp;E15)))))</x:f>
        <x:v>CHECK_IDS</x:v>
      </x:c>
      <x:c r="I15" s="3" t="str"/>
    </x:row>
    <x:row r="16" ht="33" customHeight="1">
      <x:c r="A16" s="3" t="str">
        <x:v>POST_008</x:v>
      </x:c>
      <x:c r="B16" s="3" t="n">
        <x:f>IF(A16="","",COUNTIFS('Evaluation Log'!$A$2:$A$501,$A16,'Evaluation Log'!$B$2:$B$501,$B$3))</x:f>
        <x:v>0</x:v>
      </x:c>
      <x:c r="C16" s="3" t="n">
        <x:f>IF(A16="","",COUNTIFS('Evaluation Log'!$A$2:$A$501,$A16,'Evaluation Log'!$B$2:$B$501,$B$4))</x:f>
        <x:v>0</x:v>
      </x:c>
      <x:c r="D16" s="3" t="str">
        <x:f>IF(A16="","",IF(OR(B16&lt;&gt;1,C16&lt;&gt;1),"CHECK_IDS",IFERROR(IF(AND(_xlfn.XLOOKUP($A16&amp;"|"&amp;$B$3,'Evaluation Log'!$AJ$2:$AJ$501,'Evaluation Log'!$AL$2:$AL$501,"MISSING",0)="YES",_xlfn.XLOOKUP($A16&amp;"|"&amp;$B$3,'Evaluation Log'!$AJ$2:$AJ$501,'Evaluation Log'!$P$2:$P$501,"MISSING",0)=$B$6,_xlfn.XLOOKUP($A16&amp;"|"&amp;$B$3,'Evaluation Log'!$AJ$2:$AJ$501,'Evaluation Log'!$D$2:$D$501,"MISSING",0)=$B$5),_xlfn.XLOOKUP($A16&amp;"|"&amp;$B$3,'Evaluation Log'!$AJ$2:$AJ$501,'Evaluation Log'!$L$2:$L$501,"MISSING",0),"NOT_REVIEWED"),"MISSING")))</x:f>
        <x:v>CHECK_IDS</x:v>
      </x:c>
      <x:c r="E16" s="3" t="str">
        <x:f>IF(A16="","",IF(OR(B16&lt;&gt;1,C16&lt;&gt;1),"CHECK_IDS",IFERROR(IF(AND(_xlfn.XLOOKUP($A16&amp;"|"&amp;$B$4,'Evaluation Log'!$AJ$2:$AJ$501,'Evaluation Log'!$AL$2:$AL$501,"MISSING",0)="YES",_xlfn.XLOOKUP($A16&amp;"|"&amp;$B$4,'Evaluation Log'!$AJ$2:$AJ$501,'Evaluation Log'!$P$2:$P$501,"MISSING",0)=$B$6,_xlfn.XLOOKUP($A16&amp;"|"&amp;$B$4,'Evaluation Log'!$AJ$2:$AJ$501,'Evaluation Log'!$D$2:$D$501,"MISSING",0)=$B$5),_xlfn.XLOOKUP($A16&amp;"|"&amp;$B$4,'Evaluation Log'!$AJ$2:$AJ$501,'Evaluation Log'!$L$2:$L$501,"MISSING",0),"NOT_REVIEWED"),"MISSING")))</x:f>
        <x:v>CHECK_IDS</x:v>
      </x:c>
      <x:c r="F16" s="3" t="str">
        <x:f>IF(A16="","",IF(OR(B16&lt;&gt;1,C16&lt;&gt;1),"MISSING",IFERROR(IF(_xlfn.XLOOKUP($A16&amp;"|"&amp;$B$3,'Evaluation Log'!$AJ$2:$AJ$501,'Evaluation Log'!$AN$2:$AN$501,"MISSING",0)=_xlfn.XLOOKUP($A16&amp;"|"&amp;$B$4,'Evaluation Log'!$AJ$2:$AJ$501,'Evaluation Log'!$AN$2:$AN$501,"MISSING",0),"YES","NO"),"MISSING")))</x:f>
        <x:v>MISSING</x:v>
      </x:c>
      <x:c r="G16" s="3" t="str">
        <x:f>IF(A16="","",IF(OR(B16&lt;&gt;1,C16&lt;&gt;1),"MISSING",IFERROR(IF(_xlfn.XLOOKUP($A16&amp;"|"&amp;$B$3,'Evaluation Log'!$AJ$2:$AJ$501,'Evaluation Log'!$K$2:$K$501,"MISSING",0)=_xlfn.XLOOKUP($A16&amp;"|"&amp;$B$4,'Evaluation Log'!$AJ$2:$AJ$501,'Evaluation Log'!$K$2:$K$501,"MISSING",0),"NO","YES"),"MISSING")))</x:f>
        <x:v>MISSING</x:v>
      </x:c>
      <x:c r="H16" s="3" t="str">
        <x:f>IF(A16="","",IF(OR(B16&lt;&gt;1,C16&lt;&gt;1),"CHECK_IDS",IF(F16&lt;&gt;"YES","CHANGED_BRIEF",IF(OR(AND(D16&lt;&gt;"PASS",D16&lt;&gt;"FAIL"),AND(E16&lt;&gt;"PASS",E16&lt;&gt;"FAIL")),"NOT_REVIEWED",IF(G16&lt;&gt;"YES","UNCHANGED_POST",D16&amp;"_TO_"&amp;E16)))))</x:f>
        <x:v>CHECK_IDS</x:v>
      </x:c>
      <x:c r="I16" s="3" t="str"/>
    </x:row>
    <x:row r="17" ht="33" customHeight="1">
      <x:c r="A17" s="3" t="str">
        <x:v>POST_009</x:v>
      </x:c>
      <x:c r="B17" s="3" t="n">
        <x:f>IF(A17="","",COUNTIFS('Evaluation Log'!$A$2:$A$501,$A17,'Evaluation Log'!$B$2:$B$501,$B$3))</x:f>
        <x:v>0</x:v>
      </x:c>
      <x:c r="C17" s="3" t="n">
        <x:f>IF(A17="","",COUNTIFS('Evaluation Log'!$A$2:$A$501,$A17,'Evaluation Log'!$B$2:$B$501,$B$4))</x:f>
        <x:v>0</x:v>
      </x:c>
      <x:c r="D17" s="3" t="str">
        <x:f>IF(A17="","",IF(OR(B17&lt;&gt;1,C17&lt;&gt;1),"CHECK_IDS",IFERROR(IF(AND(_xlfn.XLOOKUP($A17&amp;"|"&amp;$B$3,'Evaluation Log'!$AJ$2:$AJ$501,'Evaluation Log'!$AL$2:$AL$501,"MISSING",0)="YES",_xlfn.XLOOKUP($A17&amp;"|"&amp;$B$3,'Evaluation Log'!$AJ$2:$AJ$501,'Evaluation Log'!$P$2:$P$501,"MISSING",0)=$B$6,_xlfn.XLOOKUP($A17&amp;"|"&amp;$B$3,'Evaluation Log'!$AJ$2:$AJ$501,'Evaluation Log'!$D$2:$D$501,"MISSING",0)=$B$5),_xlfn.XLOOKUP($A17&amp;"|"&amp;$B$3,'Evaluation Log'!$AJ$2:$AJ$501,'Evaluation Log'!$L$2:$L$501,"MISSING",0),"NOT_REVIEWED"),"MISSING")))</x:f>
        <x:v>CHECK_IDS</x:v>
      </x:c>
      <x:c r="E17" s="3" t="str">
        <x:f>IF(A17="","",IF(OR(B17&lt;&gt;1,C17&lt;&gt;1),"CHECK_IDS",IFERROR(IF(AND(_xlfn.XLOOKUP($A17&amp;"|"&amp;$B$4,'Evaluation Log'!$AJ$2:$AJ$501,'Evaluation Log'!$AL$2:$AL$501,"MISSING",0)="YES",_xlfn.XLOOKUP($A17&amp;"|"&amp;$B$4,'Evaluation Log'!$AJ$2:$AJ$501,'Evaluation Log'!$P$2:$P$501,"MISSING",0)=$B$6,_xlfn.XLOOKUP($A17&amp;"|"&amp;$B$4,'Evaluation Log'!$AJ$2:$AJ$501,'Evaluation Log'!$D$2:$D$501,"MISSING",0)=$B$5),_xlfn.XLOOKUP($A17&amp;"|"&amp;$B$4,'Evaluation Log'!$AJ$2:$AJ$501,'Evaluation Log'!$L$2:$L$501,"MISSING",0),"NOT_REVIEWED"),"MISSING")))</x:f>
        <x:v>CHECK_IDS</x:v>
      </x:c>
      <x:c r="F17" s="3" t="str">
        <x:f>IF(A17="","",IF(OR(B17&lt;&gt;1,C17&lt;&gt;1),"MISSING",IFERROR(IF(_xlfn.XLOOKUP($A17&amp;"|"&amp;$B$3,'Evaluation Log'!$AJ$2:$AJ$501,'Evaluation Log'!$AN$2:$AN$501,"MISSING",0)=_xlfn.XLOOKUP($A17&amp;"|"&amp;$B$4,'Evaluation Log'!$AJ$2:$AJ$501,'Evaluation Log'!$AN$2:$AN$501,"MISSING",0),"YES","NO"),"MISSING")))</x:f>
        <x:v>MISSING</x:v>
      </x:c>
      <x:c r="G17" s="3" t="str">
        <x:f>IF(A17="","",IF(OR(B17&lt;&gt;1,C17&lt;&gt;1),"MISSING",IFERROR(IF(_xlfn.XLOOKUP($A17&amp;"|"&amp;$B$3,'Evaluation Log'!$AJ$2:$AJ$501,'Evaluation Log'!$K$2:$K$501,"MISSING",0)=_xlfn.XLOOKUP($A17&amp;"|"&amp;$B$4,'Evaluation Log'!$AJ$2:$AJ$501,'Evaluation Log'!$K$2:$K$501,"MISSING",0),"NO","YES"),"MISSING")))</x:f>
        <x:v>MISSING</x:v>
      </x:c>
      <x:c r="H17" s="3" t="str">
        <x:f>IF(A17="","",IF(OR(B17&lt;&gt;1,C17&lt;&gt;1),"CHECK_IDS",IF(F17&lt;&gt;"YES","CHANGED_BRIEF",IF(OR(AND(D17&lt;&gt;"PASS",D17&lt;&gt;"FAIL"),AND(E17&lt;&gt;"PASS",E17&lt;&gt;"FAIL")),"NOT_REVIEWED",IF(G17&lt;&gt;"YES","UNCHANGED_POST",D17&amp;"_TO_"&amp;E17)))))</x:f>
        <x:v>CHECK_IDS</x:v>
      </x:c>
      <x:c r="I17" s="3" t="str"/>
    </x:row>
    <x:row r="18" ht="33" customHeight="1">
      <x:c r="A18" s="3" t="str">
        <x:v>POST_010</x:v>
      </x:c>
      <x:c r="B18" s="3" t="n">
        <x:f>IF(A18="","",COUNTIFS('Evaluation Log'!$A$2:$A$501,$A18,'Evaluation Log'!$B$2:$B$501,$B$3))</x:f>
        <x:v>0</x:v>
      </x:c>
      <x:c r="C18" s="3" t="n">
        <x:f>IF(A18="","",COUNTIFS('Evaluation Log'!$A$2:$A$501,$A18,'Evaluation Log'!$B$2:$B$501,$B$4))</x:f>
        <x:v>0</x:v>
      </x:c>
      <x:c r="D18" s="3" t="str">
        <x:f>IF(A18="","",IF(OR(B18&lt;&gt;1,C18&lt;&gt;1),"CHECK_IDS",IFERROR(IF(AND(_xlfn.XLOOKUP($A18&amp;"|"&amp;$B$3,'Evaluation Log'!$AJ$2:$AJ$501,'Evaluation Log'!$AL$2:$AL$501,"MISSING",0)="YES",_xlfn.XLOOKUP($A18&amp;"|"&amp;$B$3,'Evaluation Log'!$AJ$2:$AJ$501,'Evaluation Log'!$P$2:$P$501,"MISSING",0)=$B$6,_xlfn.XLOOKUP($A18&amp;"|"&amp;$B$3,'Evaluation Log'!$AJ$2:$AJ$501,'Evaluation Log'!$D$2:$D$501,"MISSING",0)=$B$5),_xlfn.XLOOKUP($A18&amp;"|"&amp;$B$3,'Evaluation Log'!$AJ$2:$AJ$501,'Evaluation Log'!$L$2:$L$501,"MISSING",0),"NOT_REVIEWED"),"MISSING")))</x:f>
        <x:v>CHECK_IDS</x:v>
      </x:c>
      <x:c r="E18" s="3" t="str">
        <x:f>IF(A18="","",IF(OR(B18&lt;&gt;1,C18&lt;&gt;1),"CHECK_IDS",IFERROR(IF(AND(_xlfn.XLOOKUP($A18&amp;"|"&amp;$B$4,'Evaluation Log'!$AJ$2:$AJ$501,'Evaluation Log'!$AL$2:$AL$501,"MISSING",0)="YES",_xlfn.XLOOKUP($A18&amp;"|"&amp;$B$4,'Evaluation Log'!$AJ$2:$AJ$501,'Evaluation Log'!$P$2:$P$501,"MISSING",0)=$B$6,_xlfn.XLOOKUP($A18&amp;"|"&amp;$B$4,'Evaluation Log'!$AJ$2:$AJ$501,'Evaluation Log'!$D$2:$D$501,"MISSING",0)=$B$5),_xlfn.XLOOKUP($A18&amp;"|"&amp;$B$4,'Evaluation Log'!$AJ$2:$AJ$501,'Evaluation Log'!$L$2:$L$501,"MISSING",0),"NOT_REVIEWED"),"MISSING")))</x:f>
        <x:v>CHECK_IDS</x:v>
      </x:c>
      <x:c r="F18" s="3" t="str">
        <x:f>IF(A18="","",IF(OR(B18&lt;&gt;1,C18&lt;&gt;1),"MISSING",IFERROR(IF(_xlfn.XLOOKUP($A18&amp;"|"&amp;$B$3,'Evaluation Log'!$AJ$2:$AJ$501,'Evaluation Log'!$AN$2:$AN$501,"MISSING",0)=_xlfn.XLOOKUP($A18&amp;"|"&amp;$B$4,'Evaluation Log'!$AJ$2:$AJ$501,'Evaluation Log'!$AN$2:$AN$501,"MISSING",0),"YES","NO"),"MISSING")))</x:f>
        <x:v>MISSING</x:v>
      </x:c>
      <x:c r="G18" s="3" t="str">
        <x:f>IF(A18="","",IF(OR(B18&lt;&gt;1,C18&lt;&gt;1),"MISSING",IFERROR(IF(_xlfn.XLOOKUP($A18&amp;"|"&amp;$B$3,'Evaluation Log'!$AJ$2:$AJ$501,'Evaluation Log'!$K$2:$K$501,"MISSING",0)=_xlfn.XLOOKUP($A18&amp;"|"&amp;$B$4,'Evaluation Log'!$AJ$2:$AJ$501,'Evaluation Log'!$K$2:$K$501,"MISSING",0),"NO","YES"),"MISSING")))</x:f>
        <x:v>MISSING</x:v>
      </x:c>
      <x:c r="H18" s="3" t="str">
        <x:f>IF(A18="","",IF(OR(B18&lt;&gt;1,C18&lt;&gt;1),"CHECK_IDS",IF(F18&lt;&gt;"YES","CHANGED_BRIEF",IF(OR(AND(D18&lt;&gt;"PASS",D18&lt;&gt;"FAIL"),AND(E18&lt;&gt;"PASS",E18&lt;&gt;"FAIL")),"NOT_REVIEWED",IF(G18&lt;&gt;"YES","UNCHANGED_POST",D18&amp;"_TO_"&amp;E18)))))</x:f>
        <x:v>CHECK_IDS</x:v>
      </x:c>
      <x:c r="I18" s="3" t="str"/>
    </x:row>
    <x:row r="19" ht="33" customHeight="1">
      <x:c r="A19" s="3" t="str">
        <x:v>POST_011</x:v>
      </x:c>
      <x:c r="B19" s="3" t="n">
        <x:f>IF(A19="","",COUNTIFS('Evaluation Log'!$A$2:$A$501,$A19,'Evaluation Log'!$B$2:$B$501,$B$3))</x:f>
        <x:v>0</x:v>
      </x:c>
      <x:c r="C19" s="3" t="n">
        <x:f>IF(A19="","",COUNTIFS('Evaluation Log'!$A$2:$A$501,$A19,'Evaluation Log'!$B$2:$B$501,$B$4))</x:f>
        <x:v>0</x:v>
      </x:c>
      <x:c r="D19" s="3" t="str">
        <x:f>IF(A19="","",IF(OR(B19&lt;&gt;1,C19&lt;&gt;1),"CHECK_IDS",IFERROR(IF(AND(_xlfn.XLOOKUP($A19&amp;"|"&amp;$B$3,'Evaluation Log'!$AJ$2:$AJ$501,'Evaluation Log'!$AL$2:$AL$501,"MISSING",0)="YES",_xlfn.XLOOKUP($A19&amp;"|"&amp;$B$3,'Evaluation Log'!$AJ$2:$AJ$501,'Evaluation Log'!$P$2:$P$501,"MISSING",0)=$B$6,_xlfn.XLOOKUP($A19&amp;"|"&amp;$B$3,'Evaluation Log'!$AJ$2:$AJ$501,'Evaluation Log'!$D$2:$D$501,"MISSING",0)=$B$5),_xlfn.XLOOKUP($A19&amp;"|"&amp;$B$3,'Evaluation Log'!$AJ$2:$AJ$501,'Evaluation Log'!$L$2:$L$501,"MISSING",0),"NOT_REVIEWED"),"MISSING")))</x:f>
        <x:v>CHECK_IDS</x:v>
      </x:c>
      <x:c r="E19" s="3" t="str">
        <x:f>IF(A19="","",IF(OR(B19&lt;&gt;1,C19&lt;&gt;1),"CHECK_IDS",IFERROR(IF(AND(_xlfn.XLOOKUP($A19&amp;"|"&amp;$B$4,'Evaluation Log'!$AJ$2:$AJ$501,'Evaluation Log'!$AL$2:$AL$501,"MISSING",0)="YES",_xlfn.XLOOKUP($A19&amp;"|"&amp;$B$4,'Evaluation Log'!$AJ$2:$AJ$501,'Evaluation Log'!$P$2:$P$501,"MISSING",0)=$B$6,_xlfn.XLOOKUP($A19&amp;"|"&amp;$B$4,'Evaluation Log'!$AJ$2:$AJ$501,'Evaluation Log'!$D$2:$D$501,"MISSING",0)=$B$5),_xlfn.XLOOKUP($A19&amp;"|"&amp;$B$4,'Evaluation Log'!$AJ$2:$AJ$501,'Evaluation Log'!$L$2:$L$501,"MISSING",0),"NOT_REVIEWED"),"MISSING")))</x:f>
        <x:v>CHECK_IDS</x:v>
      </x:c>
      <x:c r="F19" s="3" t="str">
        <x:f>IF(A19="","",IF(OR(B19&lt;&gt;1,C19&lt;&gt;1),"MISSING",IFERROR(IF(_xlfn.XLOOKUP($A19&amp;"|"&amp;$B$3,'Evaluation Log'!$AJ$2:$AJ$501,'Evaluation Log'!$AN$2:$AN$501,"MISSING",0)=_xlfn.XLOOKUP($A19&amp;"|"&amp;$B$4,'Evaluation Log'!$AJ$2:$AJ$501,'Evaluation Log'!$AN$2:$AN$501,"MISSING",0),"YES","NO"),"MISSING")))</x:f>
        <x:v>MISSING</x:v>
      </x:c>
      <x:c r="G19" s="3" t="str">
        <x:f>IF(A19="","",IF(OR(B19&lt;&gt;1,C19&lt;&gt;1),"MISSING",IFERROR(IF(_xlfn.XLOOKUP($A19&amp;"|"&amp;$B$3,'Evaluation Log'!$AJ$2:$AJ$501,'Evaluation Log'!$K$2:$K$501,"MISSING",0)=_xlfn.XLOOKUP($A19&amp;"|"&amp;$B$4,'Evaluation Log'!$AJ$2:$AJ$501,'Evaluation Log'!$K$2:$K$501,"MISSING",0),"NO","YES"),"MISSING")))</x:f>
        <x:v>MISSING</x:v>
      </x:c>
      <x:c r="H19" s="3" t="str">
        <x:f>IF(A19="","",IF(OR(B19&lt;&gt;1,C19&lt;&gt;1),"CHECK_IDS",IF(F19&lt;&gt;"YES","CHANGED_BRIEF",IF(OR(AND(D19&lt;&gt;"PASS",D19&lt;&gt;"FAIL"),AND(E19&lt;&gt;"PASS",E19&lt;&gt;"FAIL")),"NOT_REVIEWED",IF(G19&lt;&gt;"YES","UNCHANGED_POST",D19&amp;"_TO_"&amp;E19)))))</x:f>
        <x:v>CHECK_IDS</x:v>
      </x:c>
      <x:c r="I19" s="3" t="str"/>
    </x:row>
    <x:row r="20" ht="33" customHeight="1">
      <x:c r="A20" s="3" t="str">
        <x:v>POST_012</x:v>
      </x:c>
      <x:c r="B20" s="3" t="n">
        <x:f>IF(A20="","",COUNTIFS('Evaluation Log'!$A$2:$A$501,$A20,'Evaluation Log'!$B$2:$B$501,$B$3))</x:f>
        <x:v>0</x:v>
      </x:c>
      <x:c r="C20" s="3" t="n">
        <x:f>IF(A20="","",COUNTIFS('Evaluation Log'!$A$2:$A$501,$A20,'Evaluation Log'!$B$2:$B$501,$B$4))</x:f>
        <x:v>0</x:v>
      </x:c>
      <x:c r="D20" s="3" t="str">
        <x:f>IF(A20="","",IF(OR(B20&lt;&gt;1,C20&lt;&gt;1),"CHECK_IDS",IFERROR(IF(AND(_xlfn.XLOOKUP($A20&amp;"|"&amp;$B$3,'Evaluation Log'!$AJ$2:$AJ$501,'Evaluation Log'!$AL$2:$AL$501,"MISSING",0)="YES",_xlfn.XLOOKUP($A20&amp;"|"&amp;$B$3,'Evaluation Log'!$AJ$2:$AJ$501,'Evaluation Log'!$P$2:$P$501,"MISSING",0)=$B$6,_xlfn.XLOOKUP($A20&amp;"|"&amp;$B$3,'Evaluation Log'!$AJ$2:$AJ$501,'Evaluation Log'!$D$2:$D$501,"MISSING",0)=$B$5),_xlfn.XLOOKUP($A20&amp;"|"&amp;$B$3,'Evaluation Log'!$AJ$2:$AJ$501,'Evaluation Log'!$L$2:$L$501,"MISSING",0),"NOT_REVIEWED"),"MISSING")))</x:f>
        <x:v>CHECK_IDS</x:v>
      </x:c>
      <x:c r="E20" s="3" t="str">
        <x:f>IF(A20="","",IF(OR(B20&lt;&gt;1,C20&lt;&gt;1),"CHECK_IDS",IFERROR(IF(AND(_xlfn.XLOOKUP($A20&amp;"|"&amp;$B$4,'Evaluation Log'!$AJ$2:$AJ$501,'Evaluation Log'!$AL$2:$AL$501,"MISSING",0)="YES",_xlfn.XLOOKUP($A20&amp;"|"&amp;$B$4,'Evaluation Log'!$AJ$2:$AJ$501,'Evaluation Log'!$P$2:$P$501,"MISSING",0)=$B$6,_xlfn.XLOOKUP($A20&amp;"|"&amp;$B$4,'Evaluation Log'!$AJ$2:$AJ$501,'Evaluation Log'!$D$2:$D$501,"MISSING",0)=$B$5),_xlfn.XLOOKUP($A20&amp;"|"&amp;$B$4,'Evaluation Log'!$AJ$2:$AJ$501,'Evaluation Log'!$L$2:$L$501,"MISSING",0),"NOT_REVIEWED"),"MISSING")))</x:f>
        <x:v>CHECK_IDS</x:v>
      </x:c>
      <x:c r="F20" s="3" t="str">
        <x:f>IF(A20="","",IF(OR(B20&lt;&gt;1,C20&lt;&gt;1),"MISSING",IFERROR(IF(_xlfn.XLOOKUP($A20&amp;"|"&amp;$B$3,'Evaluation Log'!$AJ$2:$AJ$501,'Evaluation Log'!$AN$2:$AN$501,"MISSING",0)=_xlfn.XLOOKUP($A20&amp;"|"&amp;$B$4,'Evaluation Log'!$AJ$2:$AJ$501,'Evaluation Log'!$AN$2:$AN$501,"MISSING",0),"YES","NO"),"MISSING")))</x:f>
        <x:v>MISSING</x:v>
      </x:c>
      <x:c r="G20" s="3" t="str">
        <x:f>IF(A20="","",IF(OR(B20&lt;&gt;1,C20&lt;&gt;1),"MISSING",IFERROR(IF(_xlfn.XLOOKUP($A20&amp;"|"&amp;$B$3,'Evaluation Log'!$AJ$2:$AJ$501,'Evaluation Log'!$K$2:$K$501,"MISSING",0)=_xlfn.XLOOKUP($A20&amp;"|"&amp;$B$4,'Evaluation Log'!$AJ$2:$AJ$501,'Evaluation Log'!$K$2:$K$501,"MISSING",0),"NO","YES"),"MISSING")))</x:f>
        <x:v>MISSING</x:v>
      </x:c>
      <x:c r="H20" s="3" t="str">
        <x:f>IF(A20="","",IF(OR(B20&lt;&gt;1,C20&lt;&gt;1),"CHECK_IDS",IF(F20&lt;&gt;"YES","CHANGED_BRIEF",IF(OR(AND(D20&lt;&gt;"PASS",D20&lt;&gt;"FAIL"),AND(E20&lt;&gt;"PASS",E20&lt;&gt;"FAIL")),"NOT_REVIEWED",IF(G20&lt;&gt;"YES","UNCHANGED_POST",D20&amp;"_TO_"&amp;E20)))))</x:f>
        <x:v>CHECK_IDS</x:v>
      </x:c>
      <x:c r="I20" s="3" t="str"/>
    </x:row>
    <x:row r="21" ht="33" customHeight="1">
      <x:c r="A21" s="3" t="str"/>
      <x:c r="B21" s="3" t="str">
        <x:f>IF(A21="","",COUNTIFS('Evaluation Log'!$A$2:$A$501,$A21,'Evaluation Log'!$B$2:$B$501,$B$3))</x:f>
      </x:c>
      <x:c r="C21" s="3" t="str">
        <x:f>IF(A21="","",COUNTIFS('Evaluation Log'!$A$2:$A$501,$A21,'Evaluation Log'!$B$2:$B$501,$B$4))</x:f>
      </x:c>
      <x:c r="D21" s="3" t="str">
        <x:f>IF(A21="","",IF(OR(B21&lt;&gt;1,C21&lt;&gt;1),"CHECK_IDS",IFERROR(IF(AND(_xlfn.XLOOKUP($A21&amp;"|"&amp;$B$3,'Evaluation Log'!$AJ$2:$AJ$501,'Evaluation Log'!$AL$2:$AL$501,"MISSING",0)="YES",_xlfn.XLOOKUP($A21&amp;"|"&amp;$B$3,'Evaluation Log'!$AJ$2:$AJ$501,'Evaluation Log'!$P$2:$P$501,"MISSING",0)=$B$6,_xlfn.XLOOKUP($A21&amp;"|"&amp;$B$3,'Evaluation Log'!$AJ$2:$AJ$501,'Evaluation Log'!$D$2:$D$501,"MISSING",0)=$B$5),_xlfn.XLOOKUP($A21&amp;"|"&amp;$B$3,'Evaluation Log'!$AJ$2:$AJ$501,'Evaluation Log'!$L$2:$L$501,"MISSING",0),"NOT_REVIEWED"),"MISSING")))</x:f>
      </x:c>
      <x:c r="E21" s="3" t="str">
        <x:f>IF(A21="","",IF(OR(B21&lt;&gt;1,C21&lt;&gt;1),"CHECK_IDS",IFERROR(IF(AND(_xlfn.XLOOKUP($A21&amp;"|"&amp;$B$4,'Evaluation Log'!$AJ$2:$AJ$501,'Evaluation Log'!$AL$2:$AL$501,"MISSING",0)="YES",_xlfn.XLOOKUP($A21&amp;"|"&amp;$B$4,'Evaluation Log'!$AJ$2:$AJ$501,'Evaluation Log'!$P$2:$P$501,"MISSING",0)=$B$6,_xlfn.XLOOKUP($A21&amp;"|"&amp;$B$4,'Evaluation Log'!$AJ$2:$AJ$501,'Evaluation Log'!$D$2:$D$501,"MISSING",0)=$B$5),_xlfn.XLOOKUP($A21&amp;"|"&amp;$B$4,'Evaluation Log'!$AJ$2:$AJ$501,'Evaluation Log'!$L$2:$L$501,"MISSING",0),"NOT_REVIEWED"),"MISSING")))</x:f>
      </x:c>
      <x:c r="F21" s="3" t="str">
        <x:f>IF(A21="","",IF(OR(B21&lt;&gt;1,C21&lt;&gt;1),"MISSING",IFERROR(IF(_xlfn.XLOOKUP($A21&amp;"|"&amp;$B$3,'Evaluation Log'!$AJ$2:$AJ$501,'Evaluation Log'!$AN$2:$AN$501,"MISSING",0)=_xlfn.XLOOKUP($A21&amp;"|"&amp;$B$4,'Evaluation Log'!$AJ$2:$AJ$501,'Evaluation Log'!$AN$2:$AN$501,"MISSING",0),"YES","NO"),"MISSING")))</x:f>
      </x:c>
      <x:c r="G21" s="3" t="str">
        <x:f>IF(A21="","",IF(OR(B21&lt;&gt;1,C21&lt;&gt;1),"MISSING",IFERROR(IF(_xlfn.XLOOKUP($A21&amp;"|"&amp;$B$3,'Evaluation Log'!$AJ$2:$AJ$501,'Evaluation Log'!$K$2:$K$501,"MISSING",0)=_xlfn.XLOOKUP($A21&amp;"|"&amp;$B$4,'Evaluation Log'!$AJ$2:$AJ$501,'Evaluation Log'!$K$2:$K$501,"MISSING",0),"NO","YES"),"MISSING")))</x:f>
      </x:c>
      <x:c r="H21" s="3" t="str">
        <x:f>IF(A21="","",IF(OR(B21&lt;&gt;1,C21&lt;&gt;1),"CHECK_IDS",IF(F21&lt;&gt;"YES","CHANGED_BRIEF",IF(OR(AND(D21&lt;&gt;"PASS",D21&lt;&gt;"FAIL"),AND(E21&lt;&gt;"PASS",E21&lt;&gt;"FAIL")),"NOT_REVIEWED",IF(G21&lt;&gt;"YES","UNCHANGED_POST",D21&amp;"_TO_"&amp;E21)))))</x:f>
      </x:c>
      <x:c r="I21" s="3" t="str"/>
    </x:row>
    <x:row r="22" ht="33" customHeight="1">
      <x:c r="A22" s="3" t="str"/>
      <x:c r="B22" s="3" t="str">
        <x:f>IF(A22="","",COUNTIFS('Evaluation Log'!$A$2:$A$501,$A22,'Evaluation Log'!$B$2:$B$501,$B$3))</x:f>
      </x:c>
      <x:c r="C22" s="3" t="str">
        <x:f>IF(A22="","",COUNTIFS('Evaluation Log'!$A$2:$A$501,$A22,'Evaluation Log'!$B$2:$B$501,$B$4))</x:f>
      </x:c>
      <x:c r="D22" s="3" t="str">
        <x:f>IF(A22="","",IF(OR(B22&lt;&gt;1,C22&lt;&gt;1),"CHECK_IDS",IFERROR(IF(AND(_xlfn.XLOOKUP($A22&amp;"|"&amp;$B$3,'Evaluation Log'!$AJ$2:$AJ$501,'Evaluation Log'!$AL$2:$AL$501,"MISSING",0)="YES",_xlfn.XLOOKUP($A22&amp;"|"&amp;$B$3,'Evaluation Log'!$AJ$2:$AJ$501,'Evaluation Log'!$P$2:$P$501,"MISSING",0)=$B$6,_xlfn.XLOOKUP($A22&amp;"|"&amp;$B$3,'Evaluation Log'!$AJ$2:$AJ$501,'Evaluation Log'!$D$2:$D$501,"MISSING",0)=$B$5),_xlfn.XLOOKUP($A22&amp;"|"&amp;$B$3,'Evaluation Log'!$AJ$2:$AJ$501,'Evaluation Log'!$L$2:$L$501,"MISSING",0),"NOT_REVIEWED"),"MISSING")))</x:f>
      </x:c>
      <x:c r="E22" s="3" t="str">
        <x:f>IF(A22="","",IF(OR(B22&lt;&gt;1,C22&lt;&gt;1),"CHECK_IDS",IFERROR(IF(AND(_xlfn.XLOOKUP($A22&amp;"|"&amp;$B$4,'Evaluation Log'!$AJ$2:$AJ$501,'Evaluation Log'!$AL$2:$AL$501,"MISSING",0)="YES",_xlfn.XLOOKUP($A22&amp;"|"&amp;$B$4,'Evaluation Log'!$AJ$2:$AJ$501,'Evaluation Log'!$P$2:$P$501,"MISSING",0)=$B$6,_xlfn.XLOOKUP($A22&amp;"|"&amp;$B$4,'Evaluation Log'!$AJ$2:$AJ$501,'Evaluation Log'!$D$2:$D$501,"MISSING",0)=$B$5),_xlfn.XLOOKUP($A22&amp;"|"&amp;$B$4,'Evaluation Log'!$AJ$2:$AJ$501,'Evaluation Log'!$L$2:$L$501,"MISSING",0),"NOT_REVIEWED"),"MISSING")))</x:f>
      </x:c>
      <x:c r="F22" s="3" t="str">
        <x:f>IF(A22="","",IF(OR(B22&lt;&gt;1,C22&lt;&gt;1),"MISSING",IFERROR(IF(_xlfn.XLOOKUP($A22&amp;"|"&amp;$B$3,'Evaluation Log'!$AJ$2:$AJ$501,'Evaluation Log'!$AN$2:$AN$501,"MISSING",0)=_xlfn.XLOOKUP($A22&amp;"|"&amp;$B$4,'Evaluation Log'!$AJ$2:$AJ$501,'Evaluation Log'!$AN$2:$AN$501,"MISSING",0),"YES","NO"),"MISSING")))</x:f>
      </x:c>
      <x:c r="G22" s="3" t="str">
        <x:f>IF(A22="","",IF(OR(B22&lt;&gt;1,C22&lt;&gt;1),"MISSING",IFERROR(IF(_xlfn.XLOOKUP($A22&amp;"|"&amp;$B$3,'Evaluation Log'!$AJ$2:$AJ$501,'Evaluation Log'!$K$2:$K$501,"MISSING",0)=_xlfn.XLOOKUP($A22&amp;"|"&amp;$B$4,'Evaluation Log'!$AJ$2:$AJ$501,'Evaluation Log'!$K$2:$K$501,"MISSING",0),"NO","YES"),"MISSING")))</x:f>
      </x:c>
      <x:c r="H22" s="3" t="str">
        <x:f>IF(A22="","",IF(OR(B22&lt;&gt;1,C22&lt;&gt;1),"CHECK_IDS",IF(F22&lt;&gt;"YES","CHANGED_BRIEF",IF(OR(AND(D22&lt;&gt;"PASS",D22&lt;&gt;"FAIL"),AND(E22&lt;&gt;"PASS",E22&lt;&gt;"FAIL")),"NOT_REVIEWED",IF(G22&lt;&gt;"YES","UNCHANGED_POST",D22&amp;"_TO_"&amp;E22)))))</x:f>
      </x:c>
      <x:c r="I22" s="3" t="str"/>
    </x:row>
    <x:row r="23" ht="33" customHeight="1">
      <x:c r="A23" s="3" t="str"/>
      <x:c r="B23" s="3" t="str">
        <x:f>IF(A23="","",COUNTIFS('Evaluation Log'!$A$2:$A$501,$A23,'Evaluation Log'!$B$2:$B$501,$B$3))</x:f>
      </x:c>
      <x:c r="C23" s="3" t="str">
        <x:f>IF(A23="","",COUNTIFS('Evaluation Log'!$A$2:$A$501,$A23,'Evaluation Log'!$B$2:$B$501,$B$4))</x:f>
      </x:c>
      <x:c r="D23" s="3" t="str">
        <x:f>IF(A23="","",IF(OR(B23&lt;&gt;1,C23&lt;&gt;1),"CHECK_IDS",IFERROR(IF(AND(_xlfn.XLOOKUP($A23&amp;"|"&amp;$B$3,'Evaluation Log'!$AJ$2:$AJ$501,'Evaluation Log'!$AL$2:$AL$501,"MISSING",0)="YES",_xlfn.XLOOKUP($A23&amp;"|"&amp;$B$3,'Evaluation Log'!$AJ$2:$AJ$501,'Evaluation Log'!$P$2:$P$501,"MISSING",0)=$B$6,_xlfn.XLOOKUP($A23&amp;"|"&amp;$B$3,'Evaluation Log'!$AJ$2:$AJ$501,'Evaluation Log'!$D$2:$D$501,"MISSING",0)=$B$5),_xlfn.XLOOKUP($A23&amp;"|"&amp;$B$3,'Evaluation Log'!$AJ$2:$AJ$501,'Evaluation Log'!$L$2:$L$501,"MISSING",0),"NOT_REVIEWED"),"MISSING")))</x:f>
      </x:c>
      <x:c r="E23" s="3" t="str">
        <x:f>IF(A23="","",IF(OR(B23&lt;&gt;1,C23&lt;&gt;1),"CHECK_IDS",IFERROR(IF(AND(_xlfn.XLOOKUP($A23&amp;"|"&amp;$B$4,'Evaluation Log'!$AJ$2:$AJ$501,'Evaluation Log'!$AL$2:$AL$501,"MISSING",0)="YES",_xlfn.XLOOKUP($A23&amp;"|"&amp;$B$4,'Evaluation Log'!$AJ$2:$AJ$501,'Evaluation Log'!$P$2:$P$501,"MISSING",0)=$B$6,_xlfn.XLOOKUP($A23&amp;"|"&amp;$B$4,'Evaluation Log'!$AJ$2:$AJ$501,'Evaluation Log'!$D$2:$D$501,"MISSING",0)=$B$5),_xlfn.XLOOKUP($A23&amp;"|"&amp;$B$4,'Evaluation Log'!$AJ$2:$AJ$501,'Evaluation Log'!$L$2:$L$501,"MISSING",0),"NOT_REVIEWED"),"MISSING")))</x:f>
      </x:c>
      <x:c r="F23" s="3" t="str">
        <x:f>IF(A23="","",IF(OR(B23&lt;&gt;1,C23&lt;&gt;1),"MISSING",IFERROR(IF(_xlfn.XLOOKUP($A23&amp;"|"&amp;$B$3,'Evaluation Log'!$AJ$2:$AJ$501,'Evaluation Log'!$AN$2:$AN$501,"MISSING",0)=_xlfn.XLOOKUP($A23&amp;"|"&amp;$B$4,'Evaluation Log'!$AJ$2:$AJ$501,'Evaluation Log'!$AN$2:$AN$501,"MISSING",0),"YES","NO"),"MISSING")))</x:f>
      </x:c>
      <x:c r="G23" s="3" t="str">
        <x:f>IF(A23="","",IF(OR(B23&lt;&gt;1,C23&lt;&gt;1),"MISSING",IFERROR(IF(_xlfn.XLOOKUP($A23&amp;"|"&amp;$B$3,'Evaluation Log'!$AJ$2:$AJ$501,'Evaluation Log'!$K$2:$K$501,"MISSING",0)=_xlfn.XLOOKUP($A23&amp;"|"&amp;$B$4,'Evaluation Log'!$AJ$2:$AJ$501,'Evaluation Log'!$K$2:$K$501,"MISSING",0),"NO","YES"),"MISSING")))</x:f>
      </x:c>
      <x:c r="H23" s="3" t="str">
        <x:f>IF(A23="","",IF(OR(B23&lt;&gt;1,C23&lt;&gt;1),"CHECK_IDS",IF(F23&lt;&gt;"YES","CHANGED_BRIEF",IF(OR(AND(D23&lt;&gt;"PASS",D23&lt;&gt;"FAIL"),AND(E23&lt;&gt;"PASS",E23&lt;&gt;"FAIL")),"NOT_REVIEWED",IF(G23&lt;&gt;"YES","UNCHANGED_POST",D23&amp;"_TO_"&amp;E23)))))</x:f>
      </x:c>
      <x:c r="I23" s="3" t="str"/>
    </x:row>
    <x:row r="24" ht="33" customHeight="1">
      <x:c r="A24" s="3" t="str"/>
      <x:c r="B24" s="3" t="str">
        <x:f>IF(A24="","",COUNTIFS('Evaluation Log'!$A$2:$A$501,$A24,'Evaluation Log'!$B$2:$B$501,$B$3))</x:f>
      </x:c>
      <x:c r="C24" s="3" t="str">
        <x:f>IF(A24="","",COUNTIFS('Evaluation Log'!$A$2:$A$501,$A24,'Evaluation Log'!$B$2:$B$501,$B$4))</x:f>
      </x:c>
      <x:c r="D24" s="3" t="str">
        <x:f>IF(A24="","",IF(OR(B24&lt;&gt;1,C24&lt;&gt;1),"CHECK_IDS",IFERROR(IF(AND(_xlfn.XLOOKUP($A24&amp;"|"&amp;$B$3,'Evaluation Log'!$AJ$2:$AJ$501,'Evaluation Log'!$AL$2:$AL$501,"MISSING",0)="YES",_xlfn.XLOOKUP($A24&amp;"|"&amp;$B$3,'Evaluation Log'!$AJ$2:$AJ$501,'Evaluation Log'!$P$2:$P$501,"MISSING",0)=$B$6,_xlfn.XLOOKUP($A24&amp;"|"&amp;$B$3,'Evaluation Log'!$AJ$2:$AJ$501,'Evaluation Log'!$D$2:$D$501,"MISSING",0)=$B$5),_xlfn.XLOOKUP($A24&amp;"|"&amp;$B$3,'Evaluation Log'!$AJ$2:$AJ$501,'Evaluation Log'!$L$2:$L$501,"MISSING",0),"NOT_REVIEWED"),"MISSING")))</x:f>
      </x:c>
      <x:c r="E24" s="3" t="str">
        <x:f>IF(A24="","",IF(OR(B24&lt;&gt;1,C24&lt;&gt;1),"CHECK_IDS",IFERROR(IF(AND(_xlfn.XLOOKUP($A24&amp;"|"&amp;$B$4,'Evaluation Log'!$AJ$2:$AJ$501,'Evaluation Log'!$AL$2:$AL$501,"MISSING",0)="YES",_xlfn.XLOOKUP($A24&amp;"|"&amp;$B$4,'Evaluation Log'!$AJ$2:$AJ$501,'Evaluation Log'!$P$2:$P$501,"MISSING",0)=$B$6,_xlfn.XLOOKUP($A24&amp;"|"&amp;$B$4,'Evaluation Log'!$AJ$2:$AJ$501,'Evaluation Log'!$D$2:$D$501,"MISSING",0)=$B$5),_xlfn.XLOOKUP($A24&amp;"|"&amp;$B$4,'Evaluation Log'!$AJ$2:$AJ$501,'Evaluation Log'!$L$2:$L$501,"MISSING",0),"NOT_REVIEWED"),"MISSING")))</x:f>
      </x:c>
      <x:c r="F24" s="3" t="str">
        <x:f>IF(A24="","",IF(OR(B24&lt;&gt;1,C24&lt;&gt;1),"MISSING",IFERROR(IF(_xlfn.XLOOKUP($A24&amp;"|"&amp;$B$3,'Evaluation Log'!$AJ$2:$AJ$501,'Evaluation Log'!$AN$2:$AN$501,"MISSING",0)=_xlfn.XLOOKUP($A24&amp;"|"&amp;$B$4,'Evaluation Log'!$AJ$2:$AJ$501,'Evaluation Log'!$AN$2:$AN$501,"MISSING",0),"YES","NO"),"MISSING")))</x:f>
      </x:c>
      <x:c r="G24" s="3" t="str">
        <x:f>IF(A24="","",IF(OR(B24&lt;&gt;1,C24&lt;&gt;1),"MISSING",IFERROR(IF(_xlfn.XLOOKUP($A24&amp;"|"&amp;$B$3,'Evaluation Log'!$AJ$2:$AJ$501,'Evaluation Log'!$K$2:$K$501,"MISSING",0)=_xlfn.XLOOKUP($A24&amp;"|"&amp;$B$4,'Evaluation Log'!$AJ$2:$AJ$501,'Evaluation Log'!$K$2:$K$501,"MISSING",0),"NO","YES"),"MISSING")))</x:f>
      </x:c>
      <x:c r="H24" s="3" t="str">
        <x:f>IF(A24="","",IF(OR(B24&lt;&gt;1,C24&lt;&gt;1),"CHECK_IDS",IF(F24&lt;&gt;"YES","CHANGED_BRIEF",IF(OR(AND(D24&lt;&gt;"PASS",D24&lt;&gt;"FAIL"),AND(E24&lt;&gt;"PASS",E24&lt;&gt;"FAIL")),"NOT_REVIEWED",IF(G24&lt;&gt;"YES","UNCHANGED_POST",D24&amp;"_TO_"&amp;E24)))))</x:f>
      </x:c>
      <x:c r="I24" s="3" t="str"/>
    </x:row>
    <x:row r="25" ht="33" customHeight="1">
      <x:c r="A25" s="3" t="str"/>
      <x:c r="B25" s="3" t="str">
        <x:f>IF(A25="","",COUNTIFS('Evaluation Log'!$A$2:$A$501,$A25,'Evaluation Log'!$B$2:$B$501,$B$3))</x:f>
      </x:c>
      <x:c r="C25" s="3" t="str">
        <x:f>IF(A25="","",COUNTIFS('Evaluation Log'!$A$2:$A$501,$A25,'Evaluation Log'!$B$2:$B$501,$B$4))</x:f>
      </x:c>
      <x:c r="D25" s="3" t="str">
        <x:f>IF(A25="","",IF(OR(B25&lt;&gt;1,C25&lt;&gt;1),"CHECK_IDS",IFERROR(IF(AND(_xlfn.XLOOKUP($A25&amp;"|"&amp;$B$3,'Evaluation Log'!$AJ$2:$AJ$501,'Evaluation Log'!$AL$2:$AL$501,"MISSING",0)="YES",_xlfn.XLOOKUP($A25&amp;"|"&amp;$B$3,'Evaluation Log'!$AJ$2:$AJ$501,'Evaluation Log'!$P$2:$P$501,"MISSING",0)=$B$6,_xlfn.XLOOKUP($A25&amp;"|"&amp;$B$3,'Evaluation Log'!$AJ$2:$AJ$501,'Evaluation Log'!$D$2:$D$501,"MISSING",0)=$B$5),_xlfn.XLOOKUP($A25&amp;"|"&amp;$B$3,'Evaluation Log'!$AJ$2:$AJ$501,'Evaluation Log'!$L$2:$L$501,"MISSING",0),"NOT_REVIEWED"),"MISSING")))</x:f>
      </x:c>
      <x:c r="E25" s="3" t="str">
        <x:f>IF(A25="","",IF(OR(B25&lt;&gt;1,C25&lt;&gt;1),"CHECK_IDS",IFERROR(IF(AND(_xlfn.XLOOKUP($A25&amp;"|"&amp;$B$4,'Evaluation Log'!$AJ$2:$AJ$501,'Evaluation Log'!$AL$2:$AL$501,"MISSING",0)="YES",_xlfn.XLOOKUP($A25&amp;"|"&amp;$B$4,'Evaluation Log'!$AJ$2:$AJ$501,'Evaluation Log'!$P$2:$P$501,"MISSING",0)=$B$6,_xlfn.XLOOKUP($A25&amp;"|"&amp;$B$4,'Evaluation Log'!$AJ$2:$AJ$501,'Evaluation Log'!$D$2:$D$501,"MISSING",0)=$B$5),_xlfn.XLOOKUP($A25&amp;"|"&amp;$B$4,'Evaluation Log'!$AJ$2:$AJ$501,'Evaluation Log'!$L$2:$L$501,"MISSING",0),"NOT_REVIEWED"),"MISSING")))</x:f>
      </x:c>
      <x:c r="F25" s="3" t="str">
        <x:f>IF(A25="","",IF(OR(B25&lt;&gt;1,C25&lt;&gt;1),"MISSING",IFERROR(IF(_xlfn.XLOOKUP($A25&amp;"|"&amp;$B$3,'Evaluation Log'!$AJ$2:$AJ$501,'Evaluation Log'!$AN$2:$AN$501,"MISSING",0)=_xlfn.XLOOKUP($A25&amp;"|"&amp;$B$4,'Evaluation Log'!$AJ$2:$AJ$501,'Evaluation Log'!$AN$2:$AN$501,"MISSING",0),"YES","NO"),"MISSING")))</x:f>
      </x:c>
      <x:c r="G25" s="3" t="str">
        <x:f>IF(A25="","",IF(OR(B25&lt;&gt;1,C25&lt;&gt;1),"MISSING",IFERROR(IF(_xlfn.XLOOKUP($A25&amp;"|"&amp;$B$3,'Evaluation Log'!$AJ$2:$AJ$501,'Evaluation Log'!$K$2:$K$501,"MISSING",0)=_xlfn.XLOOKUP($A25&amp;"|"&amp;$B$4,'Evaluation Log'!$AJ$2:$AJ$501,'Evaluation Log'!$K$2:$K$501,"MISSING",0),"NO","YES"),"MISSING")))</x:f>
      </x:c>
      <x:c r="H25" s="3" t="str">
        <x:f>IF(A25="","",IF(OR(B25&lt;&gt;1,C25&lt;&gt;1),"CHECK_IDS",IF(F25&lt;&gt;"YES","CHANGED_BRIEF",IF(OR(AND(D25&lt;&gt;"PASS",D25&lt;&gt;"FAIL"),AND(E25&lt;&gt;"PASS",E25&lt;&gt;"FAIL")),"NOT_REVIEWED",IF(G25&lt;&gt;"YES","UNCHANGED_POST",D25&amp;"_TO_"&amp;E25)))))</x:f>
      </x:c>
      <x:c r="I25" s="3" t="str"/>
    </x:row>
    <x:row r="26" ht="33" customHeight="1">
      <x:c r="A26" s="3" t="str"/>
      <x:c r="B26" s="3" t="str">
        <x:f>IF(A26="","",COUNTIFS('Evaluation Log'!$A$2:$A$501,$A26,'Evaluation Log'!$B$2:$B$501,$B$3))</x:f>
      </x:c>
      <x:c r="C26" s="3" t="str">
        <x:f>IF(A26="","",COUNTIFS('Evaluation Log'!$A$2:$A$501,$A26,'Evaluation Log'!$B$2:$B$501,$B$4))</x:f>
      </x:c>
      <x:c r="D26" s="3" t="str">
        <x:f>IF(A26="","",IF(OR(B26&lt;&gt;1,C26&lt;&gt;1),"CHECK_IDS",IFERROR(IF(AND(_xlfn.XLOOKUP($A26&amp;"|"&amp;$B$3,'Evaluation Log'!$AJ$2:$AJ$501,'Evaluation Log'!$AL$2:$AL$501,"MISSING",0)="YES",_xlfn.XLOOKUP($A26&amp;"|"&amp;$B$3,'Evaluation Log'!$AJ$2:$AJ$501,'Evaluation Log'!$P$2:$P$501,"MISSING",0)=$B$6,_xlfn.XLOOKUP($A26&amp;"|"&amp;$B$3,'Evaluation Log'!$AJ$2:$AJ$501,'Evaluation Log'!$D$2:$D$501,"MISSING",0)=$B$5),_xlfn.XLOOKUP($A26&amp;"|"&amp;$B$3,'Evaluation Log'!$AJ$2:$AJ$501,'Evaluation Log'!$L$2:$L$501,"MISSING",0),"NOT_REVIEWED"),"MISSING")))</x:f>
      </x:c>
      <x:c r="E26" s="3" t="str">
        <x:f>IF(A26="","",IF(OR(B26&lt;&gt;1,C26&lt;&gt;1),"CHECK_IDS",IFERROR(IF(AND(_xlfn.XLOOKUP($A26&amp;"|"&amp;$B$4,'Evaluation Log'!$AJ$2:$AJ$501,'Evaluation Log'!$AL$2:$AL$501,"MISSING",0)="YES",_xlfn.XLOOKUP($A26&amp;"|"&amp;$B$4,'Evaluation Log'!$AJ$2:$AJ$501,'Evaluation Log'!$P$2:$P$501,"MISSING",0)=$B$6,_xlfn.XLOOKUP($A26&amp;"|"&amp;$B$4,'Evaluation Log'!$AJ$2:$AJ$501,'Evaluation Log'!$D$2:$D$501,"MISSING",0)=$B$5),_xlfn.XLOOKUP($A26&amp;"|"&amp;$B$4,'Evaluation Log'!$AJ$2:$AJ$501,'Evaluation Log'!$L$2:$L$501,"MISSING",0),"NOT_REVIEWED"),"MISSING")))</x:f>
      </x:c>
      <x:c r="F26" s="3" t="str">
        <x:f>IF(A26="","",IF(OR(B26&lt;&gt;1,C26&lt;&gt;1),"MISSING",IFERROR(IF(_xlfn.XLOOKUP($A26&amp;"|"&amp;$B$3,'Evaluation Log'!$AJ$2:$AJ$501,'Evaluation Log'!$AN$2:$AN$501,"MISSING",0)=_xlfn.XLOOKUP($A26&amp;"|"&amp;$B$4,'Evaluation Log'!$AJ$2:$AJ$501,'Evaluation Log'!$AN$2:$AN$501,"MISSING",0),"YES","NO"),"MISSING")))</x:f>
      </x:c>
      <x:c r="G26" s="3" t="str">
        <x:f>IF(A26="","",IF(OR(B26&lt;&gt;1,C26&lt;&gt;1),"MISSING",IFERROR(IF(_xlfn.XLOOKUP($A26&amp;"|"&amp;$B$3,'Evaluation Log'!$AJ$2:$AJ$501,'Evaluation Log'!$K$2:$K$501,"MISSING",0)=_xlfn.XLOOKUP($A26&amp;"|"&amp;$B$4,'Evaluation Log'!$AJ$2:$AJ$501,'Evaluation Log'!$K$2:$K$501,"MISSING",0),"NO","YES"),"MISSING")))</x:f>
      </x:c>
      <x:c r="H26" s="3" t="str">
        <x:f>IF(A26="","",IF(OR(B26&lt;&gt;1,C26&lt;&gt;1),"CHECK_IDS",IF(F26&lt;&gt;"YES","CHANGED_BRIEF",IF(OR(AND(D26&lt;&gt;"PASS",D26&lt;&gt;"FAIL"),AND(E26&lt;&gt;"PASS",E26&lt;&gt;"FAIL")),"NOT_REVIEWED",IF(G26&lt;&gt;"YES","UNCHANGED_POST",D26&amp;"_TO_"&amp;E26)))))</x:f>
      </x:c>
      <x:c r="I26" s="3" t="str"/>
    </x:row>
    <x:row r="27" ht="33" customHeight="1">
      <x:c r="A27" s="3" t="str"/>
      <x:c r="B27" s="3" t="str">
        <x:f>IF(A27="","",COUNTIFS('Evaluation Log'!$A$2:$A$501,$A27,'Evaluation Log'!$B$2:$B$501,$B$3))</x:f>
      </x:c>
      <x:c r="C27" s="3" t="str">
        <x:f>IF(A27="","",COUNTIFS('Evaluation Log'!$A$2:$A$501,$A27,'Evaluation Log'!$B$2:$B$501,$B$4))</x:f>
      </x:c>
      <x:c r="D27" s="3" t="str">
        <x:f>IF(A27="","",IF(OR(B27&lt;&gt;1,C27&lt;&gt;1),"CHECK_IDS",IFERROR(IF(AND(_xlfn.XLOOKUP($A27&amp;"|"&amp;$B$3,'Evaluation Log'!$AJ$2:$AJ$501,'Evaluation Log'!$AL$2:$AL$501,"MISSING",0)="YES",_xlfn.XLOOKUP($A27&amp;"|"&amp;$B$3,'Evaluation Log'!$AJ$2:$AJ$501,'Evaluation Log'!$P$2:$P$501,"MISSING",0)=$B$6,_xlfn.XLOOKUP($A27&amp;"|"&amp;$B$3,'Evaluation Log'!$AJ$2:$AJ$501,'Evaluation Log'!$D$2:$D$501,"MISSING",0)=$B$5),_xlfn.XLOOKUP($A27&amp;"|"&amp;$B$3,'Evaluation Log'!$AJ$2:$AJ$501,'Evaluation Log'!$L$2:$L$501,"MISSING",0),"NOT_REVIEWED"),"MISSING")))</x:f>
      </x:c>
      <x:c r="E27" s="3" t="str">
        <x:f>IF(A27="","",IF(OR(B27&lt;&gt;1,C27&lt;&gt;1),"CHECK_IDS",IFERROR(IF(AND(_xlfn.XLOOKUP($A27&amp;"|"&amp;$B$4,'Evaluation Log'!$AJ$2:$AJ$501,'Evaluation Log'!$AL$2:$AL$501,"MISSING",0)="YES",_xlfn.XLOOKUP($A27&amp;"|"&amp;$B$4,'Evaluation Log'!$AJ$2:$AJ$501,'Evaluation Log'!$P$2:$P$501,"MISSING",0)=$B$6,_xlfn.XLOOKUP($A27&amp;"|"&amp;$B$4,'Evaluation Log'!$AJ$2:$AJ$501,'Evaluation Log'!$D$2:$D$501,"MISSING",0)=$B$5),_xlfn.XLOOKUP($A27&amp;"|"&amp;$B$4,'Evaluation Log'!$AJ$2:$AJ$501,'Evaluation Log'!$L$2:$L$501,"MISSING",0),"NOT_REVIEWED"),"MISSING")))</x:f>
      </x:c>
      <x:c r="F27" s="3" t="str">
        <x:f>IF(A27="","",IF(OR(B27&lt;&gt;1,C27&lt;&gt;1),"MISSING",IFERROR(IF(_xlfn.XLOOKUP($A27&amp;"|"&amp;$B$3,'Evaluation Log'!$AJ$2:$AJ$501,'Evaluation Log'!$AN$2:$AN$501,"MISSING",0)=_xlfn.XLOOKUP($A27&amp;"|"&amp;$B$4,'Evaluation Log'!$AJ$2:$AJ$501,'Evaluation Log'!$AN$2:$AN$501,"MISSING",0),"YES","NO"),"MISSING")))</x:f>
      </x:c>
      <x:c r="G27" s="3" t="str">
        <x:f>IF(A27="","",IF(OR(B27&lt;&gt;1,C27&lt;&gt;1),"MISSING",IFERROR(IF(_xlfn.XLOOKUP($A27&amp;"|"&amp;$B$3,'Evaluation Log'!$AJ$2:$AJ$501,'Evaluation Log'!$K$2:$K$501,"MISSING",0)=_xlfn.XLOOKUP($A27&amp;"|"&amp;$B$4,'Evaluation Log'!$AJ$2:$AJ$501,'Evaluation Log'!$K$2:$K$501,"MISSING",0),"NO","YES"),"MISSING")))</x:f>
      </x:c>
      <x:c r="H27" s="3" t="str">
        <x:f>IF(A27="","",IF(OR(B27&lt;&gt;1,C27&lt;&gt;1),"CHECK_IDS",IF(F27&lt;&gt;"YES","CHANGED_BRIEF",IF(OR(AND(D27&lt;&gt;"PASS",D27&lt;&gt;"FAIL"),AND(E27&lt;&gt;"PASS",E27&lt;&gt;"FAIL")),"NOT_REVIEWED",IF(G27&lt;&gt;"YES","UNCHANGED_POST",D27&amp;"_TO_"&amp;E27)))))</x:f>
      </x:c>
      <x:c r="I27" s="3" t="str"/>
    </x:row>
    <x:row r="28" ht="33" customHeight="1">
      <x:c r="A28" s="3" t="str"/>
      <x:c r="B28" s="3" t="str">
        <x:f>IF(A28="","",COUNTIFS('Evaluation Log'!$A$2:$A$501,$A28,'Evaluation Log'!$B$2:$B$501,$B$3))</x:f>
      </x:c>
      <x:c r="C28" s="3" t="str">
        <x:f>IF(A28="","",COUNTIFS('Evaluation Log'!$A$2:$A$501,$A28,'Evaluation Log'!$B$2:$B$501,$B$4))</x:f>
      </x:c>
      <x:c r="D28" s="3" t="str">
        <x:f>IF(A28="","",IF(OR(B28&lt;&gt;1,C28&lt;&gt;1),"CHECK_IDS",IFERROR(IF(AND(_xlfn.XLOOKUP($A28&amp;"|"&amp;$B$3,'Evaluation Log'!$AJ$2:$AJ$501,'Evaluation Log'!$AL$2:$AL$501,"MISSING",0)="YES",_xlfn.XLOOKUP($A28&amp;"|"&amp;$B$3,'Evaluation Log'!$AJ$2:$AJ$501,'Evaluation Log'!$P$2:$P$501,"MISSING",0)=$B$6,_xlfn.XLOOKUP($A28&amp;"|"&amp;$B$3,'Evaluation Log'!$AJ$2:$AJ$501,'Evaluation Log'!$D$2:$D$501,"MISSING",0)=$B$5),_xlfn.XLOOKUP($A28&amp;"|"&amp;$B$3,'Evaluation Log'!$AJ$2:$AJ$501,'Evaluation Log'!$L$2:$L$501,"MISSING",0),"NOT_REVIEWED"),"MISSING")))</x:f>
      </x:c>
      <x:c r="E28" s="3" t="str">
        <x:f>IF(A28="","",IF(OR(B28&lt;&gt;1,C28&lt;&gt;1),"CHECK_IDS",IFERROR(IF(AND(_xlfn.XLOOKUP($A28&amp;"|"&amp;$B$4,'Evaluation Log'!$AJ$2:$AJ$501,'Evaluation Log'!$AL$2:$AL$501,"MISSING",0)="YES",_xlfn.XLOOKUP($A28&amp;"|"&amp;$B$4,'Evaluation Log'!$AJ$2:$AJ$501,'Evaluation Log'!$P$2:$P$501,"MISSING",0)=$B$6,_xlfn.XLOOKUP($A28&amp;"|"&amp;$B$4,'Evaluation Log'!$AJ$2:$AJ$501,'Evaluation Log'!$D$2:$D$501,"MISSING",0)=$B$5),_xlfn.XLOOKUP($A28&amp;"|"&amp;$B$4,'Evaluation Log'!$AJ$2:$AJ$501,'Evaluation Log'!$L$2:$L$501,"MISSING",0),"NOT_REVIEWED"),"MISSING")))</x:f>
      </x:c>
      <x:c r="F28" s="3" t="str">
        <x:f>IF(A28="","",IF(OR(B28&lt;&gt;1,C28&lt;&gt;1),"MISSING",IFERROR(IF(_xlfn.XLOOKUP($A28&amp;"|"&amp;$B$3,'Evaluation Log'!$AJ$2:$AJ$501,'Evaluation Log'!$AN$2:$AN$501,"MISSING",0)=_xlfn.XLOOKUP($A28&amp;"|"&amp;$B$4,'Evaluation Log'!$AJ$2:$AJ$501,'Evaluation Log'!$AN$2:$AN$501,"MISSING",0),"YES","NO"),"MISSING")))</x:f>
      </x:c>
      <x:c r="G28" s="3" t="str">
        <x:f>IF(A28="","",IF(OR(B28&lt;&gt;1,C28&lt;&gt;1),"MISSING",IFERROR(IF(_xlfn.XLOOKUP($A28&amp;"|"&amp;$B$3,'Evaluation Log'!$AJ$2:$AJ$501,'Evaluation Log'!$K$2:$K$501,"MISSING",0)=_xlfn.XLOOKUP($A28&amp;"|"&amp;$B$4,'Evaluation Log'!$AJ$2:$AJ$501,'Evaluation Log'!$K$2:$K$501,"MISSING",0),"NO","YES"),"MISSING")))</x:f>
      </x:c>
      <x:c r="H28" s="3" t="str">
        <x:f>IF(A28="","",IF(OR(B28&lt;&gt;1,C28&lt;&gt;1),"CHECK_IDS",IF(F28&lt;&gt;"YES","CHANGED_BRIEF",IF(OR(AND(D28&lt;&gt;"PASS",D28&lt;&gt;"FAIL"),AND(E28&lt;&gt;"PASS",E28&lt;&gt;"FAIL")),"NOT_REVIEWED",IF(G28&lt;&gt;"YES","UNCHANGED_POST",D28&amp;"_TO_"&amp;E28)))))</x:f>
      </x:c>
      <x:c r="I28" s="3" t="str"/>
    </x:row>
    <x:row r="29" ht="33" customHeight="1">
      <x:c r="A29" s="3" t="str"/>
      <x:c r="B29" s="3" t="str">
        <x:f>IF(A29="","",COUNTIFS('Evaluation Log'!$A$2:$A$501,$A29,'Evaluation Log'!$B$2:$B$501,$B$3))</x:f>
      </x:c>
      <x:c r="C29" s="3" t="str">
        <x:f>IF(A29="","",COUNTIFS('Evaluation Log'!$A$2:$A$501,$A29,'Evaluation Log'!$B$2:$B$501,$B$4))</x:f>
      </x:c>
      <x:c r="D29" s="3" t="str">
        <x:f>IF(A29="","",IF(OR(B29&lt;&gt;1,C29&lt;&gt;1),"CHECK_IDS",IFERROR(IF(AND(_xlfn.XLOOKUP($A29&amp;"|"&amp;$B$3,'Evaluation Log'!$AJ$2:$AJ$501,'Evaluation Log'!$AL$2:$AL$501,"MISSING",0)="YES",_xlfn.XLOOKUP($A29&amp;"|"&amp;$B$3,'Evaluation Log'!$AJ$2:$AJ$501,'Evaluation Log'!$P$2:$P$501,"MISSING",0)=$B$6,_xlfn.XLOOKUP($A29&amp;"|"&amp;$B$3,'Evaluation Log'!$AJ$2:$AJ$501,'Evaluation Log'!$D$2:$D$501,"MISSING",0)=$B$5),_xlfn.XLOOKUP($A29&amp;"|"&amp;$B$3,'Evaluation Log'!$AJ$2:$AJ$501,'Evaluation Log'!$L$2:$L$501,"MISSING",0),"NOT_REVIEWED"),"MISSING")))</x:f>
      </x:c>
      <x:c r="E29" s="3" t="str">
        <x:f>IF(A29="","",IF(OR(B29&lt;&gt;1,C29&lt;&gt;1),"CHECK_IDS",IFERROR(IF(AND(_xlfn.XLOOKUP($A29&amp;"|"&amp;$B$4,'Evaluation Log'!$AJ$2:$AJ$501,'Evaluation Log'!$AL$2:$AL$501,"MISSING",0)="YES",_xlfn.XLOOKUP($A29&amp;"|"&amp;$B$4,'Evaluation Log'!$AJ$2:$AJ$501,'Evaluation Log'!$P$2:$P$501,"MISSING",0)=$B$6,_xlfn.XLOOKUP($A29&amp;"|"&amp;$B$4,'Evaluation Log'!$AJ$2:$AJ$501,'Evaluation Log'!$D$2:$D$501,"MISSING",0)=$B$5),_xlfn.XLOOKUP($A29&amp;"|"&amp;$B$4,'Evaluation Log'!$AJ$2:$AJ$501,'Evaluation Log'!$L$2:$L$501,"MISSING",0),"NOT_REVIEWED"),"MISSING")))</x:f>
      </x:c>
      <x:c r="F29" s="3" t="str">
        <x:f>IF(A29="","",IF(OR(B29&lt;&gt;1,C29&lt;&gt;1),"MISSING",IFERROR(IF(_xlfn.XLOOKUP($A29&amp;"|"&amp;$B$3,'Evaluation Log'!$AJ$2:$AJ$501,'Evaluation Log'!$AN$2:$AN$501,"MISSING",0)=_xlfn.XLOOKUP($A29&amp;"|"&amp;$B$4,'Evaluation Log'!$AJ$2:$AJ$501,'Evaluation Log'!$AN$2:$AN$501,"MISSING",0),"YES","NO"),"MISSING")))</x:f>
      </x:c>
      <x:c r="G29" s="3" t="str">
        <x:f>IF(A29="","",IF(OR(B29&lt;&gt;1,C29&lt;&gt;1),"MISSING",IFERROR(IF(_xlfn.XLOOKUP($A29&amp;"|"&amp;$B$3,'Evaluation Log'!$AJ$2:$AJ$501,'Evaluation Log'!$K$2:$K$501,"MISSING",0)=_xlfn.XLOOKUP($A29&amp;"|"&amp;$B$4,'Evaluation Log'!$AJ$2:$AJ$501,'Evaluation Log'!$K$2:$K$501,"MISSING",0),"NO","YES"),"MISSING")))</x:f>
      </x:c>
      <x:c r="H29" s="3" t="str">
        <x:f>IF(A29="","",IF(OR(B29&lt;&gt;1,C29&lt;&gt;1),"CHECK_IDS",IF(F29&lt;&gt;"YES","CHANGED_BRIEF",IF(OR(AND(D29&lt;&gt;"PASS",D29&lt;&gt;"FAIL"),AND(E29&lt;&gt;"PASS",E29&lt;&gt;"FAIL")),"NOT_REVIEWED",IF(G29&lt;&gt;"YES","UNCHANGED_POST",D29&amp;"_TO_"&amp;E29)))))</x:f>
      </x:c>
      <x:c r="I29" s="3" t="str"/>
    </x:row>
    <x:row r="30" ht="33" customHeight="1">
      <x:c r="A30" s="3" t="str"/>
      <x:c r="B30" s="3" t="str">
        <x:f>IF(A30="","",COUNTIFS('Evaluation Log'!$A$2:$A$501,$A30,'Evaluation Log'!$B$2:$B$501,$B$3))</x:f>
      </x:c>
      <x:c r="C30" s="3" t="str">
        <x:f>IF(A30="","",COUNTIFS('Evaluation Log'!$A$2:$A$501,$A30,'Evaluation Log'!$B$2:$B$501,$B$4))</x:f>
      </x:c>
      <x:c r="D30" s="3" t="str">
        <x:f>IF(A30="","",IF(OR(B30&lt;&gt;1,C30&lt;&gt;1),"CHECK_IDS",IFERROR(IF(AND(_xlfn.XLOOKUP($A30&amp;"|"&amp;$B$3,'Evaluation Log'!$AJ$2:$AJ$501,'Evaluation Log'!$AL$2:$AL$501,"MISSING",0)="YES",_xlfn.XLOOKUP($A30&amp;"|"&amp;$B$3,'Evaluation Log'!$AJ$2:$AJ$501,'Evaluation Log'!$P$2:$P$501,"MISSING",0)=$B$6,_xlfn.XLOOKUP($A30&amp;"|"&amp;$B$3,'Evaluation Log'!$AJ$2:$AJ$501,'Evaluation Log'!$D$2:$D$501,"MISSING",0)=$B$5),_xlfn.XLOOKUP($A30&amp;"|"&amp;$B$3,'Evaluation Log'!$AJ$2:$AJ$501,'Evaluation Log'!$L$2:$L$501,"MISSING",0),"NOT_REVIEWED"),"MISSING")))</x:f>
      </x:c>
      <x:c r="E30" s="3" t="str">
        <x:f>IF(A30="","",IF(OR(B30&lt;&gt;1,C30&lt;&gt;1),"CHECK_IDS",IFERROR(IF(AND(_xlfn.XLOOKUP($A30&amp;"|"&amp;$B$4,'Evaluation Log'!$AJ$2:$AJ$501,'Evaluation Log'!$AL$2:$AL$501,"MISSING",0)="YES",_xlfn.XLOOKUP($A30&amp;"|"&amp;$B$4,'Evaluation Log'!$AJ$2:$AJ$501,'Evaluation Log'!$P$2:$P$501,"MISSING",0)=$B$6,_xlfn.XLOOKUP($A30&amp;"|"&amp;$B$4,'Evaluation Log'!$AJ$2:$AJ$501,'Evaluation Log'!$D$2:$D$501,"MISSING",0)=$B$5),_xlfn.XLOOKUP($A30&amp;"|"&amp;$B$4,'Evaluation Log'!$AJ$2:$AJ$501,'Evaluation Log'!$L$2:$L$501,"MISSING",0),"NOT_REVIEWED"),"MISSING")))</x:f>
      </x:c>
      <x:c r="F30" s="3" t="str">
        <x:f>IF(A30="","",IF(OR(B30&lt;&gt;1,C30&lt;&gt;1),"MISSING",IFERROR(IF(_xlfn.XLOOKUP($A30&amp;"|"&amp;$B$3,'Evaluation Log'!$AJ$2:$AJ$501,'Evaluation Log'!$AN$2:$AN$501,"MISSING",0)=_xlfn.XLOOKUP($A30&amp;"|"&amp;$B$4,'Evaluation Log'!$AJ$2:$AJ$501,'Evaluation Log'!$AN$2:$AN$501,"MISSING",0),"YES","NO"),"MISSING")))</x:f>
      </x:c>
      <x:c r="G30" s="3" t="str">
        <x:f>IF(A30="","",IF(OR(B30&lt;&gt;1,C30&lt;&gt;1),"MISSING",IFERROR(IF(_xlfn.XLOOKUP($A30&amp;"|"&amp;$B$3,'Evaluation Log'!$AJ$2:$AJ$501,'Evaluation Log'!$K$2:$K$501,"MISSING",0)=_xlfn.XLOOKUP($A30&amp;"|"&amp;$B$4,'Evaluation Log'!$AJ$2:$AJ$501,'Evaluation Log'!$K$2:$K$501,"MISSING",0),"NO","YES"),"MISSING")))</x:f>
      </x:c>
      <x:c r="H30" s="3" t="str">
        <x:f>IF(A30="","",IF(OR(B30&lt;&gt;1,C30&lt;&gt;1),"CHECK_IDS",IF(F30&lt;&gt;"YES","CHANGED_BRIEF",IF(OR(AND(D30&lt;&gt;"PASS",D30&lt;&gt;"FAIL"),AND(E30&lt;&gt;"PASS",E30&lt;&gt;"FAIL")),"NOT_REVIEWED",IF(G30&lt;&gt;"YES","UNCHANGED_POST",D30&amp;"_TO_"&amp;E30)))))</x:f>
      </x:c>
      <x:c r="I30" s="3" t="str"/>
    </x:row>
    <x:row r="31" ht="33" customHeight="1">
      <x:c r="A31" s="3" t="str"/>
      <x:c r="B31" s="3" t="str">
        <x:f>IF(A31="","",COUNTIFS('Evaluation Log'!$A$2:$A$501,$A31,'Evaluation Log'!$B$2:$B$501,$B$3))</x:f>
      </x:c>
      <x:c r="C31" s="3" t="str">
        <x:f>IF(A31="","",COUNTIFS('Evaluation Log'!$A$2:$A$501,$A31,'Evaluation Log'!$B$2:$B$501,$B$4))</x:f>
      </x:c>
      <x:c r="D31" s="3" t="str">
        <x:f>IF(A31="","",IF(OR(B31&lt;&gt;1,C31&lt;&gt;1),"CHECK_IDS",IFERROR(IF(AND(_xlfn.XLOOKUP($A31&amp;"|"&amp;$B$3,'Evaluation Log'!$AJ$2:$AJ$501,'Evaluation Log'!$AL$2:$AL$501,"MISSING",0)="YES",_xlfn.XLOOKUP($A31&amp;"|"&amp;$B$3,'Evaluation Log'!$AJ$2:$AJ$501,'Evaluation Log'!$P$2:$P$501,"MISSING",0)=$B$6,_xlfn.XLOOKUP($A31&amp;"|"&amp;$B$3,'Evaluation Log'!$AJ$2:$AJ$501,'Evaluation Log'!$D$2:$D$501,"MISSING",0)=$B$5),_xlfn.XLOOKUP($A31&amp;"|"&amp;$B$3,'Evaluation Log'!$AJ$2:$AJ$501,'Evaluation Log'!$L$2:$L$501,"MISSING",0),"NOT_REVIEWED"),"MISSING")))</x:f>
      </x:c>
      <x:c r="E31" s="3" t="str">
        <x:f>IF(A31="","",IF(OR(B31&lt;&gt;1,C31&lt;&gt;1),"CHECK_IDS",IFERROR(IF(AND(_xlfn.XLOOKUP($A31&amp;"|"&amp;$B$4,'Evaluation Log'!$AJ$2:$AJ$501,'Evaluation Log'!$AL$2:$AL$501,"MISSING",0)="YES",_xlfn.XLOOKUP($A31&amp;"|"&amp;$B$4,'Evaluation Log'!$AJ$2:$AJ$501,'Evaluation Log'!$P$2:$P$501,"MISSING",0)=$B$6,_xlfn.XLOOKUP($A31&amp;"|"&amp;$B$4,'Evaluation Log'!$AJ$2:$AJ$501,'Evaluation Log'!$D$2:$D$501,"MISSING",0)=$B$5),_xlfn.XLOOKUP($A31&amp;"|"&amp;$B$4,'Evaluation Log'!$AJ$2:$AJ$501,'Evaluation Log'!$L$2:$L$501,"MISSING",0),"NOT_REVIEWED"),"MISSING")))</x:f>
      </x:c>
      <x:c r="F31" s="3" t="str">
        <x:f>IF(A31="","",IF(OR(B31&lt;&gt;1,C31&lt;&gt;1),"MISSING",IFERROR(IF(_xlfn.XLOOKUP($A31&amp;"|"&amp;$B$3,'Evaluation Log'!$AJ$2:$AJ$501,'Evaluation Log'!$AN$2:$AN$501,"MISSING",0)=_xlfn.XLOOKUP($A31&amp;"|"&amp;$B$4,'Evaluation Log'!$AJ$2:$AJ$501,'Evaluation Log'!$AN$2:$AN$501,"MISSING",0),"YES","NO"),"MISSING")))</x:f>
      </x:c>
      <x:c r="G31" s="3" t="str">
        <x:f>IF(A31="","",IF(OR(B31&lt;&gt;1,C31&lt;&gt;1),"MISSING",IFERROR(IF(_xlfn.XLOOKUP($A31&amp;"|"&amp;$B$3,'Evaluation Log'!$AJ$2:$AJ$501,'Evaluation Log'!$K$2:$K$501,"MISSING",0)=_xlfn.XLOOKUP($A31&amp;"|"&amp;$B$4,'Evaluation Log'!$AJ$2:$AJ$501,'Evaluation Log'!$K$2:$K$501,"MISSING",0),"NO","YES"),"MISSING")))</x:f>
      </x:c>
      <x:c r="H31" s="3" t="str">
        <x:f>IF(A31="","",IF(OR(B31&lt;&gt;1,C31&lt;&gt;1),"CHECK_IDS",IF(F31&lt;&gt;"YES","CHANGED_BRIEF",IF(OR(AND(D31&lt;&gt;"PASS",D31&lt;&gt;"FAIL"),AND(E31&lt;&gt;"PASS",E31&lt;&gt;"FAIL")),"NOT_REVIEWED",IF(G31&lt;&gt;"YES","UNCHANGED_POST",D31&amp;"_TO_"&amp;E31)))))</x:f>
      </x:c>
      <x:c r="I31" s="3" t="str"/>
    </x:row>
    <x:row r="32" ht="33" customHeight="1">
      <x:c r="A32" s="3" t="str"/>
      <x:c r="B32" s="3" t="str">
        <x:f>IF(A32="","",COUNTIFS('Evaluation Log'!$A$2:$A$501,$A32,'Evaluation Log'!$B$2:$B$501,$B$3))</x:f>
      </x:c>
      <x:c r="C32" s="3" t="str">
        <x:f>IF(A32="","",COUNTIFS('Evaluation Log'!$A$2:$A$501,$A32,'Evaluation Log'!$B$2:$B$501,$B$4))</x:f>
      </x:c>
      <x:c r="D32" s="3" t="str">
        <x:f>IF(A32="","",IF(OR(B32&lt;&gt;1,C32&lt;&gt;1),"CHECK_IDS",IFERROR(IF(AND(_xlfn.XLOOKUP($A32&amp;"|"&amp;$B$3,'Evaluation Log'!$AJ$2:$AJ$501,'Evaluation Log'!$AL$2:$AL$501,"MISSING",0)="YES",_xlfn.XLOOKUP($A32&amp;"|"&amp;$B$3,'Evaluation Log'!$AJ$2:$AJ$501,'Evaluation Log'!$P$2:$P$501,"MISSING",0)=$B$6,_xlfn.XLOOKUP($A32&amp;"|"&amp;$B$3,'Evaluation Log'!$AJ$2:$AJ$501,'Evaluation Log'!$D$2:$D$501,"MISSING",0)=$B$5),_xlfn.XLOOKUP($A32&amp;"|"&amp;$B$3,'Evaluation Log'!$AJ$2:$AJ$501,'Evaluation Log'!$L$2:$L$501,"MISSING",0),"NOT_REVIEWED"),"MISSING")))</x:f>
      </x:c>
      <x:c r="E32" s="3" t="str">
        <x:f>IF(A32="","",IF(OR(B32&lt;&gt;1,C32&lt;&gt;1),"CHECK_IDS",IFERROR(IF(AND(_xlfn.XLOOKUP($A32&amp;"|"&amp;$B$4,'Evaluation Log'!$AJ$2:$AJ$501,'Evaluation Log'!$AL$2:$AL$501,"MISSING",0)="YES",_xlfn.XLOOKUP($A32&amp;"|"&amp;$B$4,'Evaluation Log'!$AJ$2:$AJ$501,'Evaluation Log'!$P$2:$P$501,"MISSING",0)=$B$6,_xlfn.XLOOKUP($A32&amp;"|"&amp;$B$4,'Evaluation Log'!$AJ$2:$AJ$501,'Evaluation Log'!$D$2:$D$501,"MISSING",0)=$B$5),_xlfn.XLOOKUP($A32&amp;"|"&amp;$B$4,'Evaluation Log'!$AJ$2:$AJ$501,'Evaluation Log'!$L$2:$L$501,"MISSING",0),"NOT_REVIEWED"),"MISSING")))</x:f>
      </x:c>
      <x:c r="F32" s="3" t="str">
        <x:f>IF(A32="","",IF(OR(B32&lt;&gt;1,C32&lt;&gt;1),"MISSING",IFERROR(IF(_xlfn.XLOOKUP($A32&amp;"|"&amp;$B$3,'Evaluation Log'!$AJ$2:$AJ$501,'Evaluation Log'!$AN$2:$AN$501,"MISSING",0)=_xlfn.XLOOKUP($A32&amp;"|"&amp;$B$4,'Evaluation Log'!$AJ$2:$AJ$501,'Evaluation Log'!$AN$2:$AN$501,"MISSING",0),"YES","NO"),"MISSING")))</x:f>
      </x:c>
      <x:c r="G32" s="3" t="str">
        <x:f>IF(A32="","",IF(OR(B32&lt;&gt;1,C32&lt;&gt;1),"MISSING",IFERROR(IF(_xlfn.XLOOKUP($A32&amp;"|"&amp;$B$3,'Evaluation Log'!$AJ$2:$AJ$501,'Evaluation Log'!$K$2:$K$501,"MISSING",0)=_xlfn.XLOOKUP($A32&amp;"|"&amp;$B$4,'Evaluation Log'!$AJ$2:$AJ$501,'Evaluation Log'!$K$2:$K$501,"MISSING",0),"NO","YES"),"MISSING")))</x:f>
      </x:c>
      <x:c r="H32" s="3" t="str">
        <x:f>IF(A32="","",IF(OR(B32&lt;&gt;1,C32&lt;&gt;1),"CHECK_IDS",IF(F32&lt;&gt;"YES","CHANGED_BRIEF",IF(OR(AND(D32&lt;&gt;"PASS",D32&lt;&gt;"FAIL"),AND(E32&lt;&gt;"PASS",E32&lt;&gt;"FAIL")),"NOT_REVIEWED",IF(G32&lt;&gt;"YES","UNCHANGED_POST",D32&amp;"_TO_"&amp;E32)))))</x:f>
      </x:c>
      <x:c r="I32" s="3" t="str"/>
    </x:row>
    <x:row r="33" ht="33" customHeight="1">
      <x:c r="A33" s="3" t="str"/>
      <x:c r="B33" s="3" t="str">
        <x:f>IF(A33="","",COUNTIFS('Evaluation Log'!$A$2:$A$501,$A33,'Evaluation Log'!$B$2:$B$501,$B$3))</x:f>
      </x:c>
      <x:c r="C33" s="3" t="str">
        <x:f>IF(A33="","",COUNTIFS('Evaluation Log'!$A$2:$A$501,$A33,'Evaluation Log'!$B$2:$B$501,$B$4))</x:f>
      </x:c>
      <x:c r="D33" s="3" t="str">
        <x:f>IF(A33="","",IF(OR(B33&lt;&gt;1,C33&lt;&gt;1),"CHECK_IDS",IFERROR(IF(AND(_xlfn.XLOOKUP($A33&amp;"|"&amp;$B$3,'Evaluation Log'!$AJ$2:$AJ$501,'Evaluation Log'!$AL$2:$AL$501,"MISSING",0)="YES",_xlfn.XLOOKUP($A33&amp;"|"&amp;$B$3,'Evaluation Log'!$AJ$2:$AJ$501,'Evaluation Log'!$P$2:$P$501,"MISSING",0)=$B$6,_xlfn.XLOOKUP($A33&amp;"|"&amp;$B$3,'Evaluation Log'!$AJ$2:$AJ$501,'Evaluation Log'!$D$2:$D$501,"MISSING",0)=$B$5),_xlfn.XLOOKUP($A33&amp;"|"&amp;$B$3,'Evaluation Log'!$AJ$2:$AJ$501,'Evaluation Log'!$L$2:$L$501,"MISSING",0),"NOT_REVIEWED"),"MISSING")))</x:f>
      </x:c>
      <x:c r="E33" s="3" t="str">
        <x:f>IF(A33="","",IF(OR(B33&lt;&gt;1,C33&lt;&gt;1),"CHECK_IDS",IFERROR(IF(AND(_xlfn.XLOOKUP($A33&amp;"|"&amp;$B$4,'Evaluation Log'!$AJ$2:$AJ$501,'Evaluation Log'!$AL$2:$AL$501,"MISSING",0)="YES",_xlfn.XLOOKUP($A33&amp;"|"&amp;$B$4,'Evaluation Log'!$AJ$2:$AJ$501,'Evaluation Log'!$P$2:$P$501,"MISSING",0)=$B$6,_xlfn.XLOOKUP($A33&amp;"|"&amp;$B$4,'Evaluation Log'!$AJ$2:$AJ$501,'Evaluation Log'!$D$2:$D$501,"MISSING",0)=$B$5),_xlfn.XLOOKUP($A33&amp;"|"&amp;$B$4,'Evaluation Log'!$AJ$2:$AJ$501,'Evaluation Log'!$L$2:$L$501,"MISSING",0),"NOT_REVIEWED"),"MISSING")))</x:f>
      </x:c>
      <x:c r="F33" s="3" t="str">
        <x:f>IF(A33="","",IF(OR(B33&lt;&gt;1,C33&lt;&gt;1),"MISSING",IFERROR(IF(_xlfn.XLOOKUP($A33&amp;"|"&amp;$B$3,'Evaluation Log'!$AJ$2:$AJ$501,'Evaluation Log'!$AN$2:$AN$501,"MISSING",0)=_xlfn.XLOOKUP($A33&amp;"|"&amp;$B$4,'Evaluation Log'!$AJ$2:$AJ$501,'Evaluation Log'!$AN$2:$AN$501,"MISSING",0),"YES","NO"),"MISSING")))</x:f>
      </x:c>
      <x:c r="G33" s="3" t="str">
        <x:f>IF(A33="","",IF(OR(B33&lt;&gt;1,C33&lt;&gt;1),"MISSING",IFERROR(IF(_xlfn.XLOOKUP($A33&amp;"|"&amp;$B$3,'Evaluation Log'!$AJ$2:$AJ$501,'Evaluation Log'!$K$2:$K$501,"MISSING",0)=_xlfn.XLOOKUP($A33&amp;"|"&amp;$B$4,'Evaluation Log'!$AJ$2:$AJ$501,'Evaluation Log'!$K$2:$K$501,"MISSING",0),"NO","YES"),"MISSING")))</x:f>
      </x:c>
      <x:c r="H33" s="3" t="str">
        <x:f>IF(A33="","",IF(OR(B33&lt;&gt;1,C33&lt;&gt;1),"CHECK_IDS",IF(F33&lt;&gt;"YES","CHANGED_BRIEF",IF(OR(AND(D33&lt;&gt;"PASS",D33&lt;&gt;"FAIL"),AND(E33&lt;&gt;"PASS",E33&lt;&gt;"FAIL")),"NOT_REVIEWED",IF(G33&lt;&gt;"YES","UNCHANGED_POST",D33&amp;"_TO_"&amp;E33)))))</x:f>
      </x:c>
      <x:c r="I33" s="3" t="str"/>
    </x:row>
    <x:row r="34" ht="33" customHeight="1">
      <x:c r="A34" s="3" t="str"/>
      <x:c r="B34" s="3" t="str">
        <x:f>IF(A34="","",COUNTIFS('Evaluation Log'!$A$2:$A$501,$A34,'Evaluation Log'!$B$2:$B$501,$B$3))</x:f>
      </x:c>
      <x:c r="C34" s="3" t="str">
        <x:f>IF(A34="","",COUNTIFS('Evaluation Log'!$A$2:$A$501,$A34,'Evaluation Log'!$B$2:$B$501,$B$4))</x:f>
      </x:c>
      <x:c r="D34" s="3" t="str">
        <x:f>IF(A34="","",IF(OR(B34&lt;&gt;1,C34&lt;&gt;1),"CHECK_IDS",IFERROR(IF(AND(_xlfn.XLOOKUP($A34&amp;"|"&amp;$B$3,'Evaluation Log'!$AJ$2:$AJ$501,'Evaluation Log'!$AL$2:$AL$501,"MISSING",0)="YES",_xlfn.XLOOKUP($A34&amp;"|"&amp;$B$3,'Evaluation Log'!$AJ$2:$AJ$501,'Evaluation Log'!$P$2:$P$501,"MISSING",0)=$B$6,_xlfn.XLOOKUP($A34&amp;"|"&amp;$B$3,'Evaluation Log'!$AJ$2:$AJ$501,'Evaluation Log'!$D$2:$D$501,"MISSING",0)=$B$5),_xlfn.XLOOKUP($A34&amp;"|"&amp;$B$3,'Evaluation Log'!$AJ$2:$AJ$501,'Evaluation Log'!$L$2:$L$501,"MISSING",0),"NOT_REVIEWED"),"MISSING")))</x:f>
      </x:c>
      <x:c r="E34" s="3" t="str">
        <x:f>IF(A34="","",IF(OR(B34&lt;&gt;1,C34&lt;&gt;1),"CHECK_IDS",IFERROR(IF(AND(_xlfn.XLOOKUP($A34&amp;"|"&amp;$B$4,'Evaluation Log'!$AJ$2:$AJ$501,'Evaluation Log'!$AL$2:$AL$501,"MISSING",0)="YES",_xlfn.XLOOKUP($A34&amp;"|"&amp;$B$4,'Evaluation Log'!$AJ$2:$AJ$501,'Evaluation Log'!$P$2:$P$501,"MISSING",0)=$B$6,_xlfn.XLOOKUP($A34&amp;"|"&amp;$B$4,'Evaluation Log'!$AJ$2:$AJ$501,'Evaluation Log'!$D$2:$D$501,"MISSING",0)=$B$5),_xlfn.XLOOKUP($A34&amp;"|"&amp;$B$4,'Evaluation Log'!$AJ$2:$AJ$501,'Evaluation Log'!$L$2:$L$501,"MISSING",0),"NOT_REVIEWED"),"MISSING")))</x:f>
      </x:c>
      <x:c r="F34" s="3" t="str">
        <x:f>IF(A34="","",IF(OR(B34&lt;&gt;1,C34&lt;&gt;1),"MISSING",IFERROR(IF(_xlfn.XLOOKUP($A34&amp;"|"&amp;$B$3,'Evaluation Log'!$AJ$2:$AJ$501,'Evaluation Log'!$AN$2:$AN$501,"MISSING",0)=_xlfn.XLOOKUP($A34&amp;"|"&amp;$B$4,'Evaluation Log'!$AJ$2:$AJ$501,'Evaluation Log'!$AN$2:$AN$501,"MISSING",0),"YES","NO"),"MISSING")))</x:f>
      </x:c>
      <x:c r="G34" s="3" t="str">
        <x:f>IF(A34="","",IF(OR(B34&lt;&gt;1,C34&lt;&gt;1),"MISSING",IFERROR(IF(_xlfn.XLOOKUP($A34&amp;"|"&amp;$B$3,'Evaluation Log'!$AJ$2:$AJ$501,'Evaluation Log'!$K$2:$K$501,"MISSING",0)=_xlfn.XLOOKUP($A34&amp;"|"&amp;$B$4,'Evaluation Log'!$AJ$2:$AJ$501,'Evaluation Log'!$K$2:$K$501,"MISSING",0),"NO","YES"),"MISSING")))</x:f>
      </x:c>
      <x:c r="H34" s="3" t="str">
        <x:f>IF(A34="","",IF(OR(B34&lt;&gt;1,C34&lt;&gt;1),"CHECK_IDS",IF(F34&lt;&gt;"YES","CHANGED_BRIEF",IF(OR(AND(D34&lt;&gt;"PASS",D34&lt;&gt;"FAIL"),AND(E34&lt;&gt;"PASS",E34&lt;&gt;"FAIL")),"NOT_REVIEWED",IF(G34&lt;&gt;"YES","UNCHANGED_POST",D34&amp;"_TO_"&amp;E34)))))</x:f>
      </x:c>
      <x:c r="I34" s="3" t="str"/>
    </x:row>
    <x:row r="35" ht="33" customHeight="1">
      <x:c r="A35" s="3" t="str"/>
      <x:c r="B35" s="3" t="str">
        <x:f>IF(A35="","",COUNTIFS('Evaluation Log'!$A$2:$A$501,$A35,'Evaluation Log'!$B$2:$B$501,$B$3))</x:f>
      </x:c>
      <x:c r="C35" s="3" t="str">
        <x:f>IF(A35="","",COUNTIFS('Evaluation Log'!$A$2:$A$501,$A35,'Evaluation Log'!$B$2:$B$501,$B$4))</x:f>
      </x:c>
      <x:c r="D35" s="3" t="str">
        <x:f>IF(A35="","",IF(OR(B35&lt;&gt;1,C35&lt;&gt;1),"CHECK_IDS",IFERROR(IF(AND(_xlfn.XLOOKUP($A35&amp;"|"&amp;$B$3,'Evaluation Log'!$AJ$2:$AJ$501,'Evaluation Log'!$AL$2:$AL$501,"MISSING",0)="YES",_xlfn.XLOOKUP($A35&amp;"|"&amp;$B$3,'Evaluation Log'!$AJ$2:$AJ$501,'Evaluation Log'!$P$2:$P$501,"MISSING",0)=$B$6,_xlfn.XLOOKUP($A35&amp;"|"&amp;$B$3,'Evaluation Log'!$AJ$2:$AJ$501,'Evaluation Log'!$D$2:$D$501,"MISSING",0)=$B$5),_xlfn.XLOOKUP($A35&amp;"|"&amp;$B$3,'Evaluation Log'!$AJ$2:$AJ$501,'Evaluation Log'!$L$2:$L$501,"MISSING",0),"NOT_REVIEWED"),"MISSING")))</x:f>
      </x:c>
      <x:c r="E35" s="3" t="str">
        <x:f>IF(A35="","",IF(OR(B35&lt;&gt;1,C35&lt;&gt;1),"CHECK_IDS",IFERROR(IF(AND(_xlfn.XLOOKUP($A35&amp;"|"&amp;$B$4,'Evaluation Log'!$AJ$2:$AJ$501,'Evaluation Log'!$AL$2:$AL$501,"MISSING",0)="YES",_xlfn.XLOOKUP($A35&amp;"|"&amp;$B$4,'Evaluation Log'!$AJ$2:$AJ$501,'Evaluation Log'!$P$2:$P$501,"MISSING",0)=$B$6,_xlfn.XLOOKUP($A35&amp;"|"&amp;$B$4,'Evaluation Log'!$AJ$2:$AJ$501,'Evaluation Log'!$D$2:$D$501,"MISSING",0)=$B$5),_xlfn.XLOOKUP($A35&amp;"|"&amp;$B$4,'Evaluation Log'!$AJ$2:$AJ$501,'Evaluation Log'!$L$2:$L$501,"MISSING",0),"NOT_REVIEWED"),"MISSING")))</x:f>
      </x:c>
      <x:c r="F35" s="3" t="str">
        <x:f>IF(A35="","",IF(OR(B35&lt;&gt;1,C35&lt;&gt;1),"MISSING",IFERROR(IF(_xlfn.XLOOKUP($A35&amp;"|"&amp;$B$3,'Evaluation Log'!$AJ$2:$AJ$501,'Evaluation Log'!$AN$2:$AN$501,"MISSING",0)=_xlfn.XLOOKUP($A35&amp;"|"&amp;$B$4,'Evaluation Log'!$AJ$2:$AJ$501,'Evaluation Log'!$AN$2:$AN$501,"MISSING",0),"YES","NO"),"MISSING")))</x:f>
      </x:c>
      <x:c r="G35" s="3" t="str">
        <x:f>IF(A35="","",IF(OR(B35&lt;&gt;1,C35&lt;&gt;1),"MISSING",IFERROR(IF(_xlfn.XLOOKUP($A35&amp;"|"&amp;$B$3,'Evaluation Log'!$AJ$2:$AJ$501,'Evaluation Log'!$K$2:$K$501,"MISSING",0)=_xlfn.XLOOKUP($A35&amp;"|"&amp;$B$4,'Evaluation Log'!$AJ$2:$AJ$501,'Evaluation Log'!$K$2:$K$501,"MISSING",0),"NO","YES"),"MISSING")))</x:f>
      </x:c>
      <x:c r="H35" s="3" t="str">
        <x:f>IF(A35="","",IF(OR(B35&lt;&gt;1,C35&lt;&gt;1),"CHECK_IDS",IF(F35&lt;&gt;"YES","CHANGED_BRIEF",IF(OR(AND(D35&lt;&gt;"PASS",D35&lt;&gt;"FAIL"),AND(E35&lt;&gt;"PASS",E35&lt;&gt;"FAIL")),"NOT_REVIEWED",IF(G35&lt;&gt;"YES","UNCHANGED_POST",D35&amp;"_TO_"&amp;E35)))))</x:f>
      </x:c>
      <x:c r="I35" s="3" t="str"/>
    </x:row>
    <x:row r="36" ht="33" customHeight="1">
      <x:c r="A36" s="3" t="str"/>
      <x:c r="B36" s="3" t="str">
        <x:f>IF(A36="","",COUNTIFS('Evaluation Log'!$A$2:$A$501,$A36,'Evaluation Log'!$B$2:$B$501,$B$3))</x:f>
      </x:c>
      <x:c r="C36" s="3" t="str">
        <x:f>IF(A36="","",COUNTIFS('Evaluation Log'!$A$2:$A$501,$A36,'Evaluation Log'!$B$2:$B$501,$B$4))</x:f>
      </x:c>
      <x:c r="D36" s="3" t="str">
        <x:f>IF(A36="","",IF(OR(B36&lt;&gt;1,C36&lt;&gt;1),"CHECK_IDS",IFERROR(IF(AND(_xlfn.XLOOKUP($A36&amp;"|"&amp;$B$3,'Evaluation Log'!$AJ$2:$AJ$501,'Evaluation Log'!$AL$2:$AL$501,"MISSING",0)="YES",_xlfn.XLOOKUP($A36&amp;"|"&amp;$B$3,'Evaluation Log'!$AJ$2:$AJ$501,'Evaluation Log'!$P$2:$P$501,"MISSING",0)=$B$6,_xlfn.XLOOKUP($A36&amp;"|"&amp;$B$3,'Evaluation Log'!$AJ$2:$AJ$501,'Evaluation Log'!$D$2:$D$501,"MISSING",0)=$B$5),_xlfn.XLOOKUP($A36&amp;"|"&amp;$B$3,'Evaluation Log'!$AJ$2:$AJ$501,'Evaluation Log'!$L$2:$L$501,"MISSING",0),"NOT_REVIEWED"),"MISSING")))</x:f>
      </x:c>
      <x:c r="E36" s="3" t="str">
        <x:f>IF(A36="","",IF(OR(B36&lt;&gt;1,C36&lt;&gt;1),"CHECK_IDS",IFERROR(IF(AND(_xlfn.XLOOKUP($A36&amp;"|"&amp;$B$4,'Evaluation Log'!$AJ$2:$AJ$501,'Evaluation Log'!$AL$2:$AL$501,"MISSING",0)="YES",_xlfn.XLOOKUP($A36&amp;"|"&amp;$B$4,'Evaluation Log'!$AJ$2:$AJ$501,'Evaluation Log'!$P$2:$P$501,"MISSING",0)=$B$6,_xlfn.XLOOKUP($A36&amp;"|"&amp;$B$4,'Evaluation Log'!$AJ$2:$AJ$501,'Evaluation Log'!$D$2:$D$501,"MISSING",0)=$B$5),_xlfn.XLOOKUP($A36&amp;"|"&amp;$B$4,'Evaluation Log'!$AJ$2:$AJ$501,'Evaluation Log'!$L$2:$L$501,"MISSING",0),"NOT_REVIEWED"),"MISSING")))</x:f>
      </x:c>
      <x:c r="F36" s="3" t="str">
        <x:f>IF(A36="","",IF(OR(B36&lt;&gt;1,C36&lt;&gt;1),"MISSING",IFERROR(IF(_xlfn.XLOOKUP($A36&amp;"|"&amp;$B$3,'Evaluation Log'!$AJ$2:$AJ$501,'Evaluation Log'!$AN$2:$AN$501,"MISSING",0)=_xlfn.XLOOKUP($A36&amp;"|"&amp;$B$4,'Evaluation Log'!$AJ$2:$AJ$501,'Evaluation Log'!$AN$2:$AN$501,"MISSING",0),"YES","NO"),"MISSING")))</x:f>
      </x:c>
      <x:c r="G36" s="3" t="str">
        <x:f>IF(A36="","",IF(OR(B36&lt;&gt;1,C36&lt;&gt;1),"MISSING",IFERROR(IF(_xlfn.XLOOKUP($A36&amp;"|"&amp;$B$3,'Evaluation Log'!$AJ$2:$AJ$501,'Evaluation Log'!$K$2:$K$501,"MISSING",0)=_xlfn.XLOOKUP($A36&amp;"|"&amp;$B$4,'Evaluation Log'!$AJ$2:$AJ$501,'Evaluation Log'!$K$2:$K$501,"MISSING",0),"NO","YES"),"MISSING")))</x:f>
      </x:c>
      <x:c r="H36" s="3" t="str">
        <x:f>IF(A36="","",IF(OR(B36&lt;&gt;1,C36&lt;&gt;1),"CHECK_IDS",IF(F36&lt;&gt;"YES","CHANGED_BRIEF",IF(OR(AND(D36&lt;&gt;"PASS",D36&lt;&gt;"FAIL"),AND(E36&lt;&gt;"PASS",E36&lt;&gt;"FAIL")),"NOT_REVIEWED",IF(G36&lt;&gt;"YES","UNCHANGED_POST",D36&amp;"_TO_"&amp;E36)))))</x:f>
      </x:c>
      <x:c r="I36" s="3" t="str"/>
    </x:row>
    <x:row r="37" ht="33" customHeight="1">
      <x:c r="A37" s="3" t="str"/>
      <x:c r="B37" s="3" t="str">
        <x:f>IF(A37="","",COUNTIFS('Evaluation Log'!$A$2:$A$501,$A37,'Evaluation Log'!$B$2:$B$501,$B$3))</x:f>
      </x:c>
      <x:c r="C37" s="3" t="str">
        <x:f>IF(A37="","",COUNTIFS('Evaluation Log'!$A$2:$A$501,$A37,'Evaluation Log'!$B$2:$B$501,$B$4))</x:f>
      </x:c>
      <x:c r="D37" s="3" t="str">
        <x:f>IF(A37="","",IF(OR(B37&lt;&gt;1,C37&lt;&gt;1),"CHECK_IDS",IFERROR(IF(AND(_xlfn.XLOOKUP($A37&amp;"|"&amp;$B$3,'Evaluation Log'!$AJ$2:$AJ$501,'Evaluation Log'!$AL$2:$AL$501,"MISSING",0)="YES",_xlfn.XLOOKUP($A37&amp;"|"&amp;$B$3,'Evaluation Log'!$AJ$2:$AJ$501,'Evaluation Log'!$P$2:$P$501,"MISSING",0)=$B$6,_xlfn.XLOOKUP($A37&amp;"|"&amp;$B$3,'Evaluation Log'!$AJ$2:$AJ$501,'Evaluation Log'!$D$2:$D$501,"MISSING",0)=$B$5),_xlfn.XLOOKUP($A37&amp;"|"&amp;$B$3,'Evaluation Log'!$AJ$2:$AJ$501,'Evaluation Log'!$L$2:$L$501,"MISSING",0),"NOT_REVIEWED"),"MISSING")))</x:f>
      </x:c>
      <x:c r="E37" s="3" t="str">
        <x:f>IF(A37="","",IF(OR(B37&lt;&gt;1,C37&lt;&gt;1),"CHECK_IDS",IFERROR(IF(AND(_xlfn.XLOOKUP($A37&amp;"|"&amp;$B$4,'Evaluation Log'!$AJ$2:$AJ$501,'Evaluation Log'!$AL$2:$AL$501,"MISSING",0)="YES",_xlfn.XLOOKUP($A37&amp;"|"&amp;$B$4,'Evaluation Log'!$AJ$2:$AJ$501,'Evaluation Log'!$P$2:$P$501,"MISSING",0)=$B$6,_xlfn.XLOOKUP($A37&amp;"|"&amp;$B$4,'Evaluation Log'!$AJ$2:$AJ$501,'Evaluation Log'!$D$2:$D$501,"MISSING",0)=$B$5),_xlfn.XLOOKUP($A37&amp;"|"&amp;$B$4,'Evaluation Log'!$AJ$2:$AJ$501,'Evaluation Log'!$L$2:$L$501,"MISSING",0),"NOT_REVIEWED"),"MISSING")))</x:f>
      </x:c>
      <x:c r="F37" s="3" t="str">
        <x:f>IF(A37="","",IF(OR(B37&lt;&gt;1,C37&lt;&gt;1),"MISSING",IFERROR(IF(_xlfn.XLOOKUP($A37&amp;"|"&amp;$B$3,'Evaluation Log'!$AJ$2:$AJ$501,'Evaluation Log'!$AN$2:$AN$501,"MISSING",0)=_xlfn.XLOOKUP($A37&amp;"|"&amp;$B$4,'Evaluation Log'!$AJ$2:$AJ$501,'Evaluation Log'!$AN$2:$AN$501,"MISSING",0),"YES","NO"),"MISSING")))</x:f>
      </x:c>
      <x:c r="G37" s="3" t="str">
        <x:f>IF(A37="","",IF(OR(B37&lt;&gt;1,C37&lt;&gt;1),"MISSING",IFERROR(IF(_xlfn.XLOOKUP($A37&amp;"|"&amp;$B$3,'Evaluation Log'!$AJ$2:$AJ$501,'Evaluation Log'!$K$2:$K$501,"MISSING",0)=_xlfn.XLOOKUP($A37&amp;"|"&amp;$B$4,'Evaluation Log'!$AJ$2:$AJ$501,'Evaluation Log'!$K$2:$K$501,"MISSING",0),"NO","YES"),"MISSING")))</x:f>
      </x:c>
      <x:c r="H37" s="3" t="str">
        <x:f>IF(A37="","",IF(OR(B37&lt;&gt;1,C37&lt;&gt;1),"CHECK_IDS",IF(F37&lt;&gt;"YES","CHANGED_BRIEF",IF(OR(AND(D37&lt;&gt;"PASS",D37&lt;&gt;"FAIL"),AND(E37&lt;&gt;"PASS",E37&lt;&gt;"FAIL")),"NOT_REVIEWED",IF(G37&lt;&gt;"YES","UNCHANGED_POST",D37&amp;"_TO_"&amp;E37)))))</x:f>
      </x:c>
      <x:c r="I37" s="3" t="str"/>
    </x:row>
    <x:row r="38" ht="33" customHeight="1">
      <x:c r="A38" s="3" t="str"/>
      <x:c r="B38" s="3" t="str">
        <x:f>IF(A38="","",COUNTIFS('Evaluation Log'!$A$2:$A$501,$A38,'Evaluation Log'!$B$2:$B$501,$B$3))</x:f>
      </x:c>
      <x:c r="C38" s="3" t="str">
        <x:f>IF(A38="","",COUNTIFS('Evaluation Log'!$A$2:$A$501,$A38,'Evaluation Log'!$B$2:$B$501,$B$4))</x:f>
      </x:c>
      <x:c r="D38" s="3" t="str">
        <x:f>IF(A38="","",IF(OR(B38&lt;&gt;1,C38&lt;&gt;1),"CHECK_IDS",IFERROR(IF(AND(_xlfn.XLOOKUP($A38&amp;"|"&amp;$B$3,'Evaluation Log'!$AJ$2:$AJ$501,'Evaluation Log'!$AL$2:$AL$501,"MISSING",0)="YES",_xlfn.XLOOKUP($A38&amp;"|"&amp;$B$3,'Evaluation Log'!$AJ$2:$AJ$501,'Evaluation Log'!$P$2:$P$501,"MISSING",0)=$B$6,_xlfn.XLOOKUP($A38&amp;"|"&amp;$B$3,'Evaluation Log'!$AJ$2:$AJ$501,'Evaluation Log'!$D$2:$D$501,"MISSING",0)=$B$5),_xlfn.XLOOKUP($A38&amp;"|"&amp;$B$3,'Evaluation Log'!$AJ$2:$AJ$501,'Evaluation Log'!$L$2:$L$501,"MISSING",0),"NOT_REVIEWED"),"MISSING")))</x:f>
      </x:c>
      <x:c r="E38" s="3" t="str">
        <x:f>IF(A38="","",IF(OR(B38&lt;&gt;1,C38&lt;&gt;1),"CHECK_IDS",IFERROR(IF(AND(_xlfn.XLOOKUP($A38&amp;"|"&amp;$B$4,'Evaluation Log'!$AJ$2:$AJ$501,'Evaluation Log'!$AL$2:$AL$501,"MISSING",0)="YES",_xlfn.XLOOKUP($A38&amp;"|"&amp;$B$4,'Evaluation Log'!$AJ$2:$AJ$501,'Evaluation Log'!$P$2:$P$501,"MISSING",0)=$B$6,_xlfn.XLOOKUP($A38&amp;"|"&amp;$B$4,'Evaluation Log'!$AJ$2:$AJ$501,'Evaluation Log'!$D$2:$D$501,"MISSING",0)=$B$5),_xlfn.XLOOKUP($A38&amp;"|"&amp;$B$4,'Evaluation Log'!$AJ$2:$AJ$501,'Evaluation Log'!$L$2:$L$501,"MISSING",0),"NOT_REVIEWED"),"MISSING")))</x:f>
      </x:c>
      <x:c r="F38" s="3" t="str">
        <x:f>IF(A38="","",IF(OR(B38&lt;&gt;1,C38&lt;&gt;1),"MISSING",IFERROR(IF(_xlfn.XLOOKUP($A38&amp;"|"&amp;$B$3,'Evaluation Log'!$AJ$2:$AJ$501,'Evaluation Log'!$AN$2:$AN$501,"MISSING",0)=_xlfn.XLOOKUP($A38&amp;"|"&amp;$B$4,'Evaluation Log'!$AJ$2:$AJ$501,'Evaluation Log'!$AN$2:$AN$501,"MISSING",0),"YES","NO"),"MISSING")))</x:f>
      </x:c>
      <x:c r="G38" s="3" t="str">
        <x:f>IF(A38="","",IF(OR(B38&lt;&gt;1,C38&lt;&gt;1),"MISSING",IFERROR(IF(_xlfn.XLOOKUP($A38&amp;"|"&amp;$B$3,'Evaluation Log'!$AJ$2:$AJ$501,'Evaluation Log'!$K$2:$K$501,"MISSING",0)=_xlfn.XLOOKUP($A38&amp;"|"&amp;$B$4,'Evaluation Log'!$AJ$2:$AJ$501,'Evaluation Log'!$K$2:$K$501,"MISSING",0),"NO","YES"),"MISSING")))</x:f>
      </x:c>
      <x:c r="H38" s="3" t="str">
        <x:f>IF(A38="","",IF(OR(B38&lt;&gt;1,C38&lt;&gt;1),"CHECK_IDS",IF(F38&lt;&gt;"YES","CHANGED_BRIEF",IF(OR(AND(D38&lt;&gt;"PASS",D38&lt;&gt;"FAIL"),AND(E38&lt;&gt;"PASS",E38&lt;&gt;"FAIL")),"NOT_REVIEWED",IF(G38&lt;&gt;"YES","UNCHANGED_POST",D38&amp;"_TO_"&amp;E38)))))</x:f>
      </x:c>
      <x:c r="I38" s="3" t="str"/>
    </x:row>
    <x:row r="39" ht="33" customHeight="1">
      <x:c r="A39" s="3" t="str"/>
      <x:c r="B39" s="3" t="str">
        <x:f>IF(A39="","",COUNTIFS('Evaluation Log'!$A$2:$A$501,$A39,'Evaluation Log'!$B$2:$B$501,$B$3))</x:f>
      </x:c>
      <x:c r="C39" s="3" t="str">
        <x:f>IF(A39="","",COUNTIFS('Evaluation Log'!$A$2:$A$501,$A39,'Evaluation Log'!$B$2:$B$501,$B$4))</x:f>
      </x:c>
      <x:c r="D39" s="3" t="str">
        <x:f>IF(A39="","",IF(OR(B39&lt;&gt;1,C39&lt;&gt;1),"CHECK_IDS",IFERROR(IF(AND(_xlfn.XLOOKUP($A39&amp;"|"&amp;$B$3,'Evaluation Log'!$AJ$2:$AJ$501,'Evaluation Log'!$AL$2:$AL$501,"MISSING",0)="YES",_xlfn.XLOOKUP($A39&amp;"|"&amp;$B$3,'Evaluation Log'!$AJ$2:$AJ$501,'Evaluation Log'!$P$2:$P$501,"MISSING",0)=$B$6,_xlfn.XLOOKUP($A39&amp;"|"&amp;$B$3,'Evaluation Log'!$AJ$2:$AJ$501,'Evaluation Log'!$D$2:$D$501,"MISSING",0)=$B$5),_xlfn.XLOOKUP($A39&amp;"|"&amp;$B$3,'Evaluation Log'!$AJ$2:$AJ$501,'Evaluation Log'!$L$2:$L$501,"MISSING",0),"NOT_REVIEWED"),"MISSING")))</x:f>
      </x:c>
      <x:c r="E39" s="3" t="str">
        <x:f>IF(A39="","",IF(OR(B39&lt;&gt;1,C39&lt;&gt;1),"CHECK_IDS",IFERROR(IF(AND(_xlfn.XLOOKUP($A39&amp;"|"&amp;$B$4,'Evaluation Log'!$AJ$2:$AJ$501,'Evaluation Log'!$AL$2:$AL$501,"MISSING",0)="YES",_xlfn.XLOOKUP($A39&amp;"|"&amp;$B$4,'Evaluation Log'!$AJ$2:$AJ$501,'Evaluation Log'!$P$2:$P$501,"MISSING",0)=$B$6,_xlfn.XLOOKUP($A39&amp;"|"&amp;$B$4,'Evaluation Log'!$AJ$2:$AJ$501,'Evaluation Log'!$D$2:$D$501,"MISSING",0)=$B$5),_xlfn.XLOOKUP($A39&amp;"|"&amp;$B$4,'Evaluation Log'!$AJ$2:$AJ$501,'Evaluation Log'!$L$2:$L$501,"MISSING",0),"NOT_REVIEWED"),"MISSING")))</x:f>
      </x:c>
      <x:c r="F39" s="3" t="str">
        <x:f>IF(A39="","",IF(OR(B39&lt;&gt;1,C39&lt;&gt;1),"MISSING",IFERROR(IF(_xlfn.XLOOKUP($A39&amp;"|"&amp;$B$3,'Evaluation Log'!$AJ$2:$AJ$501,'Evaluation Log'!$AN$2:$AN$501,"MISSING",0)=_xlfn.XLOOKUP($A39&amp;"|"&amp;$B$4,'Evaluation Log'!$AJ$2:$AJ$501,'Evaluation Log'!$AN$2:$AN$501,"MISSING",0),"YES","NO"),"MISSING")))</x:f>
      </x:c>
      <x:c r="G39" s="3" t="str">
        <x:f>IF(A39="","",IF(OR(B39&lt;&gt;1,C39&lt;&gt;1),"MISSING",IFERROR(IF(_xlfn.XLOOKUP($A39&amp;"|"&amp;$B$3,'Evaluation Log'!$AJ$2:$AJ$501,'Evaluation Log'!$K$2:$K$501,"MISSING",0)=_xlfn.XLOOKUP($A39&amp;"|"&amp;$B$4,'Evaluation Log'!$AJ$2:$AJ$501,'Evaluation Log'!$K$2:$K$501,"MISSING",0),"NO","YES"),"MISSING")))</x:f>
      </x:c>
      <x:c r="H39" s="3" t="str">
        <x:f>IF(A39="","",IF(OR(B39&lt;&gt;1,C39&lt;&gt;1),"CHECK_IDS",IF(F39&lt;&gt;"YES","CHANGED_BRIEF",IF(OR(AND(D39&lt;&gt;"PASS",D39&lt;&gt;"FAIL"),AND(E39&lt;&gt;"PASS",E39&lt;&gt;"FAIL")),"NOT_REVIEWED",IF(G39&lt;&gt;"YES","UNCHANGED_POST",D39&amp;"_TO_"&amp;E39)))))</x:f>
      </x:c>
      <x:c r="I39" s="3" t="str"/>
    </x:row>
    <x:row r="40" ht="33" customHeight="1">
      <x:c r="A40" s="3" t="str"/>
      <x:c r="B40" s="3" t="str">
        <x:f>IF(A40="","",COUNTIFS('Evaluation Log'!$A$2:$A$501,$A40,'Evaluation Log'!$B$2:$B$501,$B$3))</x:f>
      </x:c>
      <x:c r="C40" s="3" t="str">
        <x:f>IF(A40="","",COUNTIFS('Evaluation Log'!$A$2:$A$501,$A40,'Evaluation Log'!$B$2:$B$501,$B$4))</x:f>
      </x:c>
      <x:c r="D40" s="3" t="str">
        <x:f>IF(A40="","",IF(OR(B40&lt;&gt;1,C40&lt;&gt;1),"CHECK_IDS",IFERROR(IF(AND(_xlfn.XLOOKUP($A40&amp;"|"&amp;$B$3,'Evaluation Log'!$AJ$2:$AJ$501,'Evaluation Log'!$AL$2:$AL$501,"MISSING",0)="YES",_xlfn.XLOOKUP($A40&amp;"|"&amp;$B$3,'Evaluation Log'!$AJ$2:$AJ$501,'Evaluation Log'!$P$2:$P$501,"MISSING",0)=$B$6,_xlfn.XLOOKUP($A40&amp;"|"&amp;$B$3,'Evaluation Log'!$AJ$2:$AJ$501,'Evaluation Log'!$D$2:$D$501,"MISSING",0)=$B$5),_xlfn.XLOOKUP($A40&amp;"|"&amp;$B$3,'Evaluation Log'!$AJ$2:$AJ$501,'Evaluation Log'!$L$2:$L$501,"MISSING",0),"NOT_REVIEWED"),"MISSING")))</x:f>
      </x:c>
      <x:c r="E40" s="3" t="str">
        <x:f>IF(A40="","",IF(OR(B40&lt;&gt;1,C40&lt;&gt;1),"CHECK_IDS",IFERROR(IF(AND(_xlfn.XLOOKUP($A40&amp;"|"&amp;$B$4,'Evaluation Log'!$AJ$2:$AJ$501,'Evaluation Log'!$AL$2:$AL$501,"MISSING",0)="YES",_xlfn.XLOOKUP($A40&amp;"|"&amp;$B$4,'Evaluation Log'!$AJ$2:$AJ$501,'Evaluation Log'!$P$2:$P$501,"MISSING",0)=$B$6,_xlfn.XLOOKUP($A40&amp;"|"&amp;$B$4,'Evaluation Log'!$AJ$2:$AJ$501,'Evaluation Log'!$D$2:$D$501,"MISSING",0)=$B$5),_xlfn.XLOOKUP($A40&amp;"|"&amp;$B$4,'Evaluation Log'!$AJ$2:$AJ$501,'Evaluation Log'!$L$2:$L$501,"MISSING",0),"NOT_REVIEWED"),"MISSING")))</x:f>
      </x:c>
      <x:c r="F40" s="3" t="str">
        <x:f>IF(A40="","",IF(OR(B40&lt;&gt;1,C40&lt;&gt;1),"MISSING",IFERROR(IF(_xlfn.XLOOKUP($A40&amp;"|"&amp;$B$3,'Evaluation Log'!$AJ$2:$AJ$501,'Evaluation Log'!$AN$2:$AN$501,"MISSING",0)=_xlfn.XLOOKUP($A40&amp;"|"&amp;$B$4,'Evaluation Log'!$AJ$2:$AJ$501,'Evaluation Log'!$AN$2:$AN$501,"MISSING",0),"YES","NO"),"MISSING")))</x:f>
      </x:c>
      <x:c r="G40" s="3" t="str">
        <x:f>IF(A40="","",IF(OR(B40&lt;&gt;1,C40&lt;&gt;1),"MISSING",IFERROR(IF(_xlfn.XLOOKUP($A40&amp;"|"&amp;$B$3,'Evaluation Log'!$AJ$2:$AJ$501,'Evaluation Log'!$K$2:$K$501,"MISSING",0)=_xlfn.XLOOKUP($A40&amp;"|"&amp;$B$4,'Evaluation Log'!$AJ$2:$AJ$501,'Evaluation Log'!$K$2:$K$501,"MISSING",0),"NO","YES"),"MISSING")))</x:f>
      </x:c>
      <x:c r="H40" s="3" t="str">
        <x:f>IF(A40="","",IF(OR(B40&lt;&gt;1,C40&lt;&gt;1),"CHECK_IDS",IF(F40&lt;&gt;"YES","CHANGED_BRIEF",IF(OR(AND(D40&lt;&gt;"PASS",D40&lt;&gt;"FAIL"),AND(E40&lt;&gt;"PASS",E40&lt;&gt;"FAIL")),"NOT_REVIEWED",IF(G40&lt;&gt;"YES","UNCHANGED_POST",D40&amp;"_TO_"&amp;E40)))))</x:f>
      </x:c>
      <x:c r="I40" s="3" t="str"/>
    </x:row>
    <x:row r="41" ht="33" customHeight="1">
      <x:c r="A41" s="3" t="str"/>
      <x:c r="B41" s="3" t="str">
        <x:f>IF(A41="","",COUNTIFS('Evaluation Log'!$A$2:$A$501,$A41,'Evaluation Log'!$B$2:$B$501,$B$3))</x:f>
      </x:c>
      <x:c r="C41" s="3" t="str">
        <x:f>IF(A41="","",COUNTIFS('Evaluation Log'!$A$2:$A$501,$A41,'Evaluation Log'!$B$2:$B$501,$B$4))</x:f>
      </x:c>
      <x:c r="D41" s="3" t="str">
        <x:f>IF(A41="","",IF(OR(B41&lt;&gt;1,C41&lt;&gt;1),"CHECK_IDS",IFERROR(IF(AND(_xlfn.XLOOKUP($A41&amp;"|"&amp;$B$3,'Evaluation Log'!$AJ$2:$AJ$501,'Evaluation Log'!$AL$2:$AL$501,"MISSING",0)="YES",_xlfn.XLOOKUP($A41&amp;"|"&amp;$B$3,'Evaluation Log'!$AJ$2:$AJ$501,'Evaluation Log'!$P$2:$P$501,"MISSING",0)=$B$6,_xlfn.XLOOKUP($A41&amp;"|"&amp;$B$3,'Evaluation Log'!$AJ$2:$AJ$501,'Evaluation Log'!$D$2:$D$501,"MISSING",0)=$B$5),_xlfn.XLOOKUP($A41&amp;"|"&amp;$B$3,'Evaluation Log'!$AJ$2:$AJ$501,'Evaluation Log'!$L$2:$L$501,"MISSING",0),"NOT_REVIEWED"),"MISSING")))</x:f>
      </x:c>
      <x:c r="E41" s="3" t="str">
        <x:f>IF(A41="","",IF(OR(B41&lt;&gt;1,C41&lt;&gt;1),"CHECK_IDS",IFERROR(IF(AND(_xlfn.XLOOKUP($A41&amp;"|"&amp;$B$4,'Evaluation Log'!$AJ$2:$AJ$501,'Evaluation Log'!$AL$2:$AL$501,"MISSING",0)="YES",_xlfn.XLOOKUP($A41&amp;"|"&amp;$B$4,'Evaluation Log'!$AJ$2:$AJ$501,'Evaluation Log'!$P$2:$P$501,"MISSING",0)=$B$6,_xlfn.XLOOKUP($A41&amp;"|"&amp;$B$4,'Evaluation Log'!$AJ$2:$AJ$501,'Evaluation Log'!$D$2:$D$501,"MISSING",0)=$B$5),_xlfn.XLOOKUP($A41&amp;"|"&amp;$B$4,'Evaluation Log'!$AJ$2:$AJ$501,'Evaluation Log'!$L$2:$L$501,"MISSING",0),"NOT_REVIEWED"),"MISSING")))</x:f>
      </x:c>
      <x:c r="F41" s="3" t="str">
        <x:f>IF(A41="","",IF(OR(B41&lt;&gt;1,C41&lt;&gt;1),"MISSING",IFERROR(IF(_xlfn.XLOOKUP($A41&amp;"|"&amp;$B$3,'Evaluation Log'!$AJ$2:$AJ$501,'Evaluation Log'!$AN$2:$AN$501,"MISSING",0)=_xlfn.XLOOKUP($A41&amp;"|"&amp;$B$4,'Evaluation Log'!$AJ$2:$AJ$501,'Evaluation Log'!$AN$2:$AN$501,"MISSING",0),"YES","NO"),"MISSING")))</x:f>
      </x:c>
      <x:c r="G41" s="3" t="str">
        <x:f>IF(A41="","",IF(OR(B41&lt;&gt;1,C41&lt;&gt;1),"MISSING",IFERROR(IF(_xlfn.XLOOKUP($A41&amp;"|"&amp;$B$3,'Evaluation Log'!$AJ$2:$AJ$501,'Evaluation Log'!$K$2:$K$501,"MISSING",0)=_xlfn.XLOOKUP($A41&amp;"|"&amp;$B$4,'Evaluation Log'!$AJ$2:$AJ$501,'Evaluation Log'!$K$2:$K$501,"MISSING",0),"NO","YES"),"MISSING")))</x:f>
      </x:c>
      <x:c r="H41" s="3" t="str">
        <x:f>IF(A41="","",IF(OR(B41&lt;&gt;1,C41&lt;&gt;1),"CHECK_IDS",IF(F41&lt;&gt;"YES","CHANGED_BRIEF",IF(OR(AND(D41&lt;&gt;"PASS",D41&lt;&gt;"FAIL"),AND(E41&lt;&gt;"PASS",E41&lt;&gt;"FAIL")),"NOT_REVIEWED",IF(G41&lt;&gt;"YES","UNCHANGED_POST",D41&amp;"_TO_"&amp;E41)))))</x:f>
      </x:c>
      <x:c r="I41" s="3" t="str"/>
    </x:row>
    <x:row r="42" ht="33" customHeight="1">
      <x:c r="A42" s="3" t="str"/>
      <x:c r="B42" s="3" t="str">
        <x:f>IF(A42="","",COUNTIFS('Evaluation Log'!$A$2:$A$501,$A42,'Evaluation Log'!$B$2:$B$501,$B$3))</x:f>
      </x:c>
      <x:c r="C42" s="3" t="str">
        <x:f>IF(A42="","",COUNTIFS('Evaluation Log'!$A$2:$A$501,$A42,'Evaluation Log'!$B$2:$B$501,$B$4))</x:f>
      </x:c>
      <x:c r="D42" s="3" t="str">
        <x:f>IF(A42="","",IF(OR(B42&lt;&gt;1,C42&lt;&gt;1),"CHECK_IDS",IFERROR(IF(AND(_xlfn.XLOOKUP($A42&amp;"|"&amp;$B$3,'Evaluation Log'!$AJ$2:$AJ$501,'Evaluation Log'!$AL$2:$AL$501,"MISSING",0)="YES",_xlfn.XLOOKUP($A42&amp;"|"&amp;$B$3,'Evaluation Log'!$AJ$2:$AJ$501,'Evaluation Log'!$P$2:$P$501,"MISSING",0)=$B$6,_xlfn.XLOOKUP($A42&amp;"|"&amp;$B$3,'Evaluation Log'!$AJ$2:$AJ$501,'Evaluation Log'!$D$2:$D$501,"MISSING",0)=$B$5),_xlfn.XLOOKUP($A42&amp;"|"&amp;$B$3,'Evaluation Log'!$AJ$2:$AJ$501,'Evaluation Log'!$L$2:$L$501,"MISSING",0),"NOT_REVIEWED"),"MISSING")))</x:f>
      </x:c>
      <x:c r="E42" s="3" t="str">
        <x:f>IF(A42="","",IF(OR(B42&lt;&gt;1,C42&lt;&gt;1),"CHECK_IDS",IFERROR(IF(AND(_xlfn.XLOOKUP($A42&amp;"|"&amp;$B$4,'Evaluation Log'!$AJ$2:$AJ$501,'Evaluation Log'!$AL$2:$AL$501,"MISSING",0)="YES",_xlfn.XLOOKUP($A42&amp;"|"&amp;$B$4,'Evaluation Log'!$AJ$2:$AJ$501,'Evaluation Log'!$P$2:$P$501,"MISSING",0)=$B$6,_xlfn.XLOOKUP($A42&amp;"|"&amp;$B$4,'Evaluation Log'!$AJ$2:$AJ$501,'Evaluation Log'!$D$2:$D$501,"MISSING",0)=$B$5),_xlfn.XLOOKUP($A42&amp;"|"&amp;$B$4,'Evaluation Log'!$AJ$2:$AJ$501,'Evaluation Log'!$L$2:$L$501,"MISSING",0),"NOT_REVIEWED"),"MISSING")))</x:f>
      </x:c>
      <x:c r="F42" s="3" t="str">
        <x:f>IF(A42="","",IF(OR(B42&lt;&gt;1,C42&lt;&gt;1),"MISSING",IFERROR(IF(_xlfn.XLOOKUP($A42&amp;"|"&amp;$B$3,'Evaluation Log'!$AJ$2:$AJ$501,'Evaluation Log'!$AN$2:$AN$501,"MISSING",0)=_xlfn.XLOOKUP($A42&amp;"|"&amp;$B$4,'Evaluation Log'!$AJ$2:$AJ$501,'Evaluation Log'!$AN$2:$AN$501,"MISSING",0),"YES","NO"),"MISSING")))</x:f>
      </x:c>
      <x:c r="G42" s="3" t="str">
        <x:f>IF(A42="","",IF(OR(B42&lt;&gt;1,C42&lt;&gt;1),"MISSING",IFERROR(IF(_xlfn.XLOOKUP($A42&amp;"|"&amp;$B$3,'Evaluation Log'!$AJ$2:$AJ$501,'Evaluation Log'!$K$2:$K$501,"MISSING",0)=_xlfn.XLOOKUP($A42&amp;"|"&amp;$B$4,'Evaluation Log'!$AJ$2:$AJ$501,'Evaluation Log'!$K$2:$K$501,"MISSING",0),"NO","YES"),"MISSING")))</x:f>
      </x:c>
      <x:c r="H42" s="3" t="str">
        <x:f>IF(A42="","",IF(OR(B42&lt;&gt;1,C42&lt;&gt;1),"CHECK_IDS",IF(F42&lt;&gt;"YES","CHANGED_BRIEF",IF(OR(AND(D42&lt;&gt;"PASS",D42&lt;&gt;"FAIL"),AND(E42&lt;&gt;"PASS",E42&lt;&gt;"FAIL")),"NOT_REVIEWED",IF(G42&lt;&gt;"YES","UNCHANGED_POST",D42&amp;"_TO_"&amp;E42)))))</x:f>
      </x:c>
      <x:c r="I42" s="3" t="str"/>
    </x:row>
    <x:row r="43" ht="33" customHeight="1">
      <x:c r="A43" s="3" t="str"/>
      <x:c r="B43" s="3" t="str">
        <x:f>IF(A43="","",COUNTIFS('Evaluation Log'!$A$2:$A$501,$A43,'Evaluation Log'!$B$2:$B$501,$B$3))</x:f>
      </x:c>
      <x:c r="C43" s="3" t="str">
        <x:f>IF(A43="","",COUNTIFS('Evaluation Log'!$A$2:$A$501,$A43,'Evaluation Log'!$B$2:$B$501,$B$4))</x:f>
      </x:c>
      <x:c r="D43" s="3" t="str">
        <x:f>IF(A43="","",IF(OR(B43&lt;&gt;1,C43&lt;&gt;1),"CHECK_IDS",IFERROR(IF(AND(_xlfn.XLOOKUP($A43&amp;"|"&amp;$B$3,'Evaluation Log'!$AJ$2:$AJ$501,'Evaluation Log'!$AL$2:$AL$501,"MISSING",0)="YES",_xlfn.XLOOKUP($A43&amp;"|"&amp;$B$3,'Evaluation Log'!$AJ$2:$AJ$501,'Evaluation Log'!$P$2:$P$501,"MISSING",0)=$B$6,_xlfn.XLOOKUP($A43&amp;"|"&amp;$B$3,'Evaluation Log'!$AJ$2:$AJ$501,'Evaluation Log'!$D$2:$D$501,"MISSING",0)=$B$5),_xlfn.XLOOKUP($A43&amp;"|"&amp;$B$3,'Evaluation Log'!$AJ$2:$AJ$501,'Evaluation Log'!$L$2:$L$501,"MISSING",0),"NOT_REVIEWED"),"MISSING")))</x:f>
      </x:c>
      <x:c r="E43" s="3" t="str">
        <x:f>IF(A43="","",IF(OR(B43&lt;&gt;1,C43&lt;&gt;1),"CHECK_IDS",IFERROR(IF(AND(_xlfn.XLOOKUP($A43&amp;"|"&amp;$B$4,'Evaluation Log'!$AJ$2:$AJ$501,'Evaluation Log'!$AL$2:$AL$501,"MISSING",0)="YES",_xlfn.XLOOKUP($A43&amp;"|"&amp;$B$4,'Evaluation Log'!$AJ$2:$AJ$501,'Evaluation Log'!$P$2:$P$501,"MISSING",0)=$B$6,_xlfn.XLOOKUP($A43&amp;"|"&amp;$B$4,'Evaluation Log'!$AJ$2:$AJ$501,'Evaluation Log'!$D$2:$D$501,"MISSING",0)=$B$5),_xlfn.XLOOKUP($A43&amp;"|"&amp;$B$4,'Evaluation Log'!$AJ$2:$AJ$501,'Evaluation Log'!$L$2:$L$501,"MISSING",0),"NOT_REVIEWED"),"MISSING")))</x:f>
      </x:c>
      <x:c r="F43" s="3" t="str">
        <x:f>IF(A43="","",IF(OR(B43&lt;&gt;1,C43&lt;&gt;1),"MISSING",IFERROR(IF(_xlfn.XLOOKUP($A43&amp;"|"&amp;$B$3,'Evaluation Log'!$AJ$2:$AJ$501,'Evaluation Log'!$AN$2:$AN$501,"MISSING",0)=_xlfn.XLOOKUP($A43&amp;"|"&amp;$B$4,'Evaluation Log'!$AJ$2:$AJ$501,'Evaluation Log'!$AN$2:$AN$501,"MISSING",0),"YES","NO"),"MISSING")))</x:f>
      </x:c>
      <x:c r="G43" s="3" t="str">
        <x:f>IF(A43="","",IF(OR(B43&lt;&gt;1,C43&lt;&gt;1),"MISSING",IFERROR(IF(_xlfn.XLOOKUP($A43&amp;"|"&amp;$B$3,'Evaluation Log'!$AJ$2:$AJ$501,'Evaluation Log'!$K$2:$K$501,"MISSING",0)=_xlfn.XLOOKUP($A43&amp;"|"&amp;$B$4,'Evaluation Log'!$AJ$2:$AJ$501,'Evaluation Log'!$K$2:$K$501,"MISSING",0),"NO","YES"),"MISSING")))</x:f>
      </x:c>
      <x:c r="H43" s="3" t="str">
        <x:f>IF(A43="","",IF(OR(B43&lt;&gt;1,C43&lt;&gt;1),"CHECK_IDS",IF(F43&lt;&gt;"YES","CHANGED_BRIEF",IF(OR(AND(D43&lt;&gt;"PASS",D43&lt;&gt;"FAIL"),AND(E43&lt;&gt;"PASS",E43&lt;&gt;"FAIL")),"NOT_REVIEWED",IF(G43&lt;&gt;"YES","UNCHANGED_POST",D43&amp;"_TO_"&amp;E43)))))</x:f>
      </x:c>
      <x:c r="I43" s="3" t="str"/>
    </x:row>
    <x:row r="44" ht="33" customHeight="1">
      <x:c r="A44" s="3" t="str"/>
      <x:c r="B44" s="3" t="str">
        <x:f>IF(A44="","",COUNTIFS('Evaluation Log'!$A$2:$A$501,$A44,'Evaluation Log'!$B$2:$B$501,$B$3))</x:f>
      </x:c>
      <x:c r="C44" s="3" t="str">
        <x:f>IF(A44="","",COUNTIFS('Evaluation Log'!$A$2:$A$501,$A44,'Evaluation Log'!$B$2:$B$501,$B$4))</x:f>
      </x:c>
      <x:c r="D44" s="3" t="str">
        <x:f>IF(A44="","",IF(OR(B44&lt;&gt;1,C44&lt;&gt;1),"CHECK_IDS",IFERROR(IF(AND(_xlfn.XLOOKUP($A44&amp;"|"&amp;$B$3,'Evaluation Log'!$AJ$2:$AJ$501,'Evaluation Log'!$AL$2:$AL$501,"MISSING",0)="YES",_xlfn.XLOOKUP($A44&amp;"|"&amp;$B$3,'Evaluation Log'!$AJ$2:$AJ$501,'Evaluation Log'!$P$2:$P$501,"MISSING",0)=$B$6,_xlfn.XLOOKUP($A44&amp;"|"&amp;$B$3,'Evaluation Log'!$AJ$2:$AJ$501,'Evaluation Log'!$D$2:$D$501,"MISSING",0)=$B$5),_xlfn.XLOOKUP($A44&amp;"|"&amp;$B$3,'Evaluation Log'!$AJ$2:$AJ$501,'Evaluation Log'!$L$2:$L$501,"MISSING",0),"NOT_REVIEWED"),"MISSING")))</x:f>
      </x:c>
      <x:c r="E44" s="3" t="str">
        <x:f>IF(A44="","",IF(OR(B44&lt;&gt;1,C44&lt;&gt;1),"CHECK_IDS",IFERROR(IF(AND(_xlfn.XLOOKUP($A44&amp;"|"&amp;$B$4,'Evaluation Log'!$AJ$2:$AJ$501,'Evaluation Log'!$AL$2:$AL$501,"MISSING",0)="YES",_xlfn.XLOOKUP($A44&amp;"|"&amp;$B$4,'Evaluation Log'!$AJ$2:$AJ$501,'Evaluation Log'!$P$2:$P$501,"MISSING",0)=$B$6,_xlfn.XLOOKUP($A44&amp;"|"&amp;$B$4,'Evaluation Log'!$AJ$2:$AJ$501,'Evaluation Log'!$D$2:$D$501,"MISSING",0)=$B$5),_xlfn.XLOOKUP($A44&amp;"|"&amp;$B$4,'Evaluation Log'!$AJ$2:$AJ$501,'Evaluation Log'!$L$2:$L$501,"MISSING",0),"NOT_REVIEWED"),"MISSING")))</x:f>
      </x:c>
      <x:c r="F44" s="3" t="str">
        <x:f>IF(A44="","",IF(OR(B44&lt;&gt;1,C44&lt;&gt;1),"MISSING",IFERROR(IF(_xlfn.XLOOKUP($A44&amp;"|"&amp;$B$3,'Evaluation Log'!$AJ$2:$AJ$501,'Evaluation Log'!$AN$2:$AN$501,"MISSING",0)=_xlfn.XLOOKUP($A44&amp;"|"&amp;$B$4,'Evaluation Log'!$AJ$2:$AJ$501,'Evaluation Log'!$AN$2:$AN$501,"MISSING",0),"YES","NO"),"MISSING")))</x:f>
      </x:c>
      <x:c r="G44" s="3" t="str">
        <x:f>IF(A44="","",IF(OR(B44&lt;&gt;1,C44&lt;&gt;1),"MISSING",IFERROR(IF(_xlfn.XLOOKUP($A44&amp;"|"&amp;$B$3,'Evaluation Log'!$AJ$2:$AJ$501,'Evaluation Log'!$K$2:$K$501,"MISSING",0)=_xlfn.XLOOKUP($A44&amp;"|"&amp;$B$4,'Evaluation Log'!$AJ$2:$AJ$501,'Evaluation Log'!$K$2:$K$501,"MISSING",0),"NO","YES"),"MISSING")))</x:f>
      </x:c>
      <x:c r="H44" s="3" t="str">
        <x:f>IF(A44="","",IF(OR(B44&lt;&gt;1,C44&lt;&gt;1),"CHECK_IDS",IF(F44&lt;&gt;"YES","CHANGED_BRIEF",IF(OR(AND(D44&lt;&gt;"PASS",D44&lt;&gt;"FAIL"),AND(E44&lt;&gt;"PASS",E44&lt;&gt;"FAIL")),"NOT_REVIEWED",IF(G44&lt;&gt;"YES","UNCHANGED_POST",D44&amp;"_TO_"&amp;E44)))))</x:f>
      </x:c>
      <x:c r="I44" s="3" t="str"/>
    </x:row>
    <x:row r="45" ht="33" customHeight="1">
      <x:c r="A45" s="3" t="str"/>
      <x:c r="B45" s="3" t="str">
        <x:f>IF(A45="","",COUNTIFS('Evaluation Log'!$A$2:$A$501,$A45,'Evaluation Log'!$B$2:$B$501,$B$3))</x:f>
      </x:c>
      <x:c r="C45" s="3" t="str">
        <x:f>IF(A45="","",COUNTIFS('Evaluation Log'!$A$2:$A$501,$A45,'Evaluation Log'!$B$2:$B$501,$B$4))</x:f>
      </x:c>
      <x:c r="D45" s="3" t="str">
        <x:f>IF(A45="","",IF(OR(B45&lt;&gt;1,C45&lt;&gt;1),"CHECK_IDS",IFERROR(IF(AND(_xlfn.XLOOKUP($A45&amp;"|"&amp;$B$3,'Evaluation Log'!$AJ$2:$AJ$501,'Evaluation Log'!$AL$2:$AL$501,"MISSING",0)="YES",_xlfn.XLOOKUP($A45&amp;"|"&amp;$B$3,'Evaluation Log'!$AJ$2:$AJ$501,'Evaluation Log'!$P$2:$P$501,"MISSING",0)=$B$6,_xlfn.XLOOKUP($A45&amp;"|"&amp;$B$3,'Evaluation Log'!$AJ$2:$AJ$501,'Evaluation Log'!$D$2:$D$501,"MISSING",0)=$B$5),_xlfn.XLOOKUP($A45&amp;"|"&amp;$B$3,'Evaluation Log'!$AJ$2:$AJ$501,'Evaluation Log'!$L$2:$L$501,"MISSING",0),"NOT_REVIEWED"),"MISSING")))</x:f>
      </x:c>
      <x:c r="E45" s="3" t="str">
        <x:f>IF(A45="","",IF(OR(B45&lt;&gt;1,C45&lt;&gt;1),"CHECK_IDS",IFERROR(IF(AND(_xlfn.XLOOKUP($A45&amp;"|"&amp;$B$4,'Evaluation Log'!$AJ$2:$AJ$501,'Evaluation Log'!$AL$2:$AL$501,"MISSING",0)="YES",_xlfn.XLOOKUP($A45&amp;"|"&amp;$B$4,'Evaluation Log'!$AJ$2:$AJ$501,'Evaluation Log'!$P$2:$P$501,"MISSING",0)=$B$6,_xlfn.XLOOKUP($A45&amp;"|"&amp;$B$4,'Evaluation Log'!$AJ$2:$AJ$501,'Evaluation Log'!$D$2:$D$501,"MISSING",0)=$B$5),_xlfn.XLOOKUP($A45&amp;"|"&amp;$B$4,'Evaluation Log'!$AJ$2:$AJ$501,'Evaluation Log'!$L$2:$L$501,"MISSING",0),"NOT_REVIEWED"),"MISSING")))</x:f>
      </x:c>
      <x:c r="F45" s="3" t="str">
        <x:f>IF(A45="","",IF(OR(B45&lt;&gt;1,C45&lt;&gt;1),"MISSING",IFERROR(IF(_xlfn.XLOOKUP($A45&amp;"|"&amp;$B$3,'Evaluation Log'!$AJ$2:$AJ$501,'Evaluation Log'!$AN$2:$AN$501,"MISSING",0)=_xlfn.XLOOKUP($A45&amp;"|"&amp;$B$4,'Evaluation Log'!$AJ$2:$AJ$501,'Evaluation Log'!$AN$2:$AN$501,"MISSING",0),"YES","NO"),"MISSING")))</x:f>
      </x:c>
      <x:c r="G45" s="3" t="str">
        <x:f>IF(A45="","",IF(OR(B45&lt;&gt;1,C45&lt;&gt;1),"MISSING",IFERROR(IF(_xlfn.XLOOKUP($A45&amp;"|"&amp;$B$3,'Evaluation Log'!$AJ$2:$AJ$501,'Evaluation Log'!$K$2:$K$501,"MISSING",0)=_xlfn.XLOOKUP($A45&amp;"|"&amp;$B$4,'Evaluation Log'!$AJ$2:$AJ$501,'Evaluation Log'!$K$2:$K$501,"MISSING",0),"NO","YES"),"MISSING")))</x:f>
      </x:c>
      <x:c r="H45" s="3" t="str">
        <x:f>IF(A45="","",IF(OR(B45&lt;&gt;1,C45&lt;&gt;1),"CHECK_IDS",IF(F45&lt;&gt;"YES","CHANGED_BRIEF",IF(OR(AND(D45&lt;&gt;"PASS",D45&lt;&gt;"FAIL"),AND(E45&lt;&gt;"PASS",E45&lt;&gt;"FAIL")),"NOT_REVIEWED",IF(G45&lt;&gt;"YES","UNCHANGED_POST",D45&amp;"_TO_"&amp;E45)))))</x:f>
      </x:c>
      <x:c r="I45" s="3" t="str"/>
    </x:row>
    <x:row r="46" ht="33" customHeight="1">
      <x:c r="A46" s="3" t="str"/>
      <x:c r="B46" s="3" t="str">
        <x:f>IF(A46="","",COUNTIFS('Evaluation Log'!$A$2:$A$501,$A46,'Evaluation Log'!$B$2:$B$501,$B$3))</x:f>
      </x:c>
      <x:c r="C46" s="3" t="str">
        <x:f>IF(A46="","",COUNTIFS('Evaluation Log'!$A$2:$A$501,$A46,'Evaluation Log'!$B$2:$B$501,$B$4))</x:f>
      </x:c>
      <x:c r="D46" s="3" t="str">
        <x:f>IF(A46="","",IF(OR(B46&lt;&gt;1,C46&lt;&gt;1),"CHECK_IDS",IFERROR(IF(AND(_xlfn.XLOOKUP($A46&amp;"|"&amp;$B$3,'Evaluation Log'!$AJ$2:$AJ$501,'Evaluation Log'!$AL$2:$AL$501,"MISSING",0)="YES",_xlfn.XLOOKUP($A46&amp;"|"&amp;$B$3,'Evaluation Log'!$AJ$2:$AJ$501,'Evaluation Log'!$P$2:$P$501,"MISSING",0)=$B$6,_xlfn.XLOOKUP($A46&amp;"|"&amp;$B$3,'Evaluation Log'!$AJ$2:$AJ$501,'Evaluation Log'!$D$2:$D$501,"MISSING",0)=$B$5),_xlfn.XLOOKUP($A46&amp;"|"&amp;$B$3,'Evaluation Log'!$AJ$2:$AJ$501,'Evaluation Log'!$L$2:$L$501,"MISSING",0),"NOT_REVIEWED"),"MISSING")))</x:f>
      </x:c>
      <x:c r="E46" s="3" t="str">
        <x:f>IF(A46="","",IF(OR(B46&lt;&gt;1,C46&lt;&gt;1),"CHECK_IDS",IFERROR(IF(AND(_xlfn.XLOOKUP($A46&amp;"|"&amp;$B$4,'Evaluation Log'!$AJ$2:$AJ$501,'Evaluation Log'!$AL$2:$AL$501,"MISSING",0)="YES",_xlfn.XLOOKUP($A46&amp;"|"&amp;$B$4,'Evaluation Log'!$AJ$2:$AJ$501,'Evaluation Log'!$P$2:$P$501,"MISSING",0)=$B$6,_xlfn.XLOOKUP($A46&amp;"|"&amp;$B$4,'Evaluation Log'!$AJ$2:$AJ$501,'Evaluation Log'!$D$2:$D$501,"MISSING",0)=$B$5),_xlfn.XLOOKUP($A46&amp;"|"&amp;$B$4,'Evaluation Log'!$AJ$2:$AJ$501,'Evaluation Log'!$L$2:$L$501,"MISSING",0),"NOT_REVIEWED"),"MISSING")))</x:f>
      </x:c>
      <x:c r="F46" s="3" t="str">
        <x:f>IF(A46="","",IF(OR(B46&lt;&gt;1,C46&lt;&gt;1),"MISSING",IFERROR(IF(_xlfn.XLOOKUP($A46&amp;"|"&amp;$B$3,'Evaluation Log'!$AJ$2:$AJ$501,'Evaluation Log'!$AN$2:$AN$501,"MISSING",0)=_xlfn.XLOOKUP($A46&amp;"|"&amp;$B$4,'Evaluation Log'!$AJ$2:$AJ$501,'Evaluation Log'!$AN$2:$AN$501,"MISSING",0),"YES","NO"),"MISSING")))</x:f>
      </x:c>
      <x:c r="G46" s="3" t="str">
        <x:f>IF(A46="","",IF(OR(B46&lt;&gt;1,C46&lt;&gt;1),"MISSING",IFERROR(IF(_xlfn.XLOOKUP($A46&amp;"|"&amp;$B$3,'Evaluation Log'!$AJ$2:$AJ$501,'Evaluation Log'!$K$2:$K$501,"MISSING",0)=_xlfn.XLOOKUP($A46&amp;"|"&amp;$B$4,'Evaluation Log'!$AJ$2:$AJ$501,'Evaluation Log'!$K$2:$K$501,"MISSING",0),"NO","YES"),"MISSING")))</x:f>
      </x:c>
      <x:c r="H46" s="3" t="str">
        <x:f>IF(A46="","",IF(OR(B46&lt;&gt;1,C46&lt;&gt;1),"CHECK_IDS",IF(F46&lt;&gt;"YES","CHANGED_BRIEF",IF(OR(AND(D46&lt;&gt;"PASS",D46&lt;&gt;"FAIL"),AND(E46&lt;&gt;"PASS",E46&lt;&gt;"FAIL")),"NOT_REVIEWED",IF(G46&lt;&gt;"YES","UNCHANGED_POST",D46&amp;"_TO_"&amp;E46)))))</x:f>
      </x:c>
      <x:c r="I46" s="3" t="str"/>
    </x:row>
    <x:row r="47" ht="33" customHeight="1">
      <x:c r="A47" s="3" t="str"/>
      <x:c r="B47" s="3" t="str">
        <x:f>IF(A47="","",COUNTIFS('Evaluation Log'!$A$2:$A$501,$A47,'Evaluation Log'!$B$2:$B$501,$B$3))</x:f>
      </x:c>
      <x:c r="C47" s="3" t="str">
        <x:f>IF(A47="","",COUNTIFS('Evaluation Log'!$A$2:$A$501,$A47,'Evaluation Log'!$B$2:$B$501,$B$4))</x:f>
      </x:c>
      <x:c r="D47" s="3" t="str">
        <x:f>IF(A47="","",IF(OR(B47&lt;&gt;1,C47&lt;&gt;1),"CHECK_IDS",IFERROR(IF(AND(_xlfn.XLOOKUP($A47&amp;"|"&amp;$B$3,'Evaluation Log'!$AJ$2:$AJ$501,'Evaluation Log'!$AL$2:$AL$501,"MISSING",0)="YES",_xlfn.XLOOKUP($A47&amp;"|"&amp;$B$3,'Evaluation Log'!$AJ$2:$AJ$501,'Evaluation Log'!$P$2:$P$501,"MISSING",0)=$B$6,_xlfn.XLOOKUP($A47&amp;"|"&amp;$B$3,'Evaluation Log'!$AJ$2:$AJ$501,'Evaluation Log'!$D$2:$D$501,"MISSING",0)=$B$5),_xlfn.XLOOKUP($A47&amp;"|"&amp;$B$3,'Evaluation Log'!$AJ$2:$AJ$501,'Evaluation Log'!$L$2:$L$501,"MISSING",0),"NOT_REVIEWED"),"MISSING")))</x:f>
      </x:c>
      <x:c r="E47" s="3" t="str">
        <x:f>IF(A47="","",IF(OR(B47&lt;&gt;1,C47&lt;&gt;1),"CHECK_IDS",IFERROR(IF(AND(_xlfn.XLOOKUP($A47&amp;"|"&amp;$B$4,'Evaluation Log'!$AJ$2:$AJ$501,'Evaluation Log'!$AL$2:$AL$501,"MISSING",0)="YES",_xlfn.XLOOKUP($A47&amp;"|"&amp;$B$4,'Evaluation Log'!$AJ$2:$AJ$501,'Evaluation Log'!$P$2:$P$501,"MISSING",0)=$B$6,_xlfn.XLOOKUP($A47&amp;"|"&amp;$B$4,'Evaluation Log'!$AJ$2:$AJ$501,'Evaluation Log'!$D$2:$D$501,"MISSING",0)=$B$5),_xlfn.XLOOKUP($A47&amp;"|"&amp;$B$4,'Evaluation Log'!$AJ$2:$AJ$501,'Evaluation Log'!$L$2:$L$501,"MISSING",0),"NOT_REVIEWED"),"MISSING")))</x:f>
      </x:c>
      <x:c r="F47" s="3" t="str">
        <x:f>IF(A47="","",IF(OR(B47&lt;&gt;1,C47&lt;&gt;1),"MISSING",IFERROR(IF(_xlfn.XLOOKUP($A47&amp;"|"&amp;$B$3,'Evaluation Log'!$AJ$2:$AJ$501,'Evaluation Log'!$AN$2:$AN$501,"MISSING",0)=_xlfn.XLOOKUP($A47&amp;"|"&amp;$B$4,'Evaluation Log'!$AJ$2:$AJ$501,'Evaluation Log'!$AN$2:$AN$501,"MISSING",0),"YES","NO"),"MISSING")))</x:f>
      </x:c>
      <x:c r="G47" s="3" t="str">
        <x:f>IF(A47="","",IF(OR(B47&lt;&gt;1,C47&lt;&gt;1),"MISSING",IFERROR(IF(_xlfn.XLOOKUP($A47&amp;"|"&amp;$B$3,'Evaluation Log'!$AJ$2:$AJ$501,'Evaluation Log'!$K$2:$K$501,"MISSING",0)=_xlfn.XLOOKUP($A47&amp;"|"&amp;$B$4,'Evaluation Log'!$AJ$2:$AJ$501,'Evaluation Log'!$K$2:$K$501,"MISSING",0),"NO","YES"),"MISSING")))</x:f>
      </x:c>
      <x:c r="H47" s="3" t="str">
        <x:f>IF(A47="","",IF(OR(B47&lt;&gt;1,C47&lt;&gt;1),"CHECK_IDS",IF(F47&lt;&gt;"YES","CHANGED_BRIEF",IF(OR(AND(D47&lt;&gt;"PASS",D47&lt;&gt;"FAIL"),AND(E47&lt;&gt;"PASS",E47&lt;&gt;"FAIL")),"NOT_REVIEWED",IF(G47&lt;&gt;"YES","UNCHANGED_POST",D47&amp;"_TO_"&amp;E47)))))</x:f>
      </x:c>
      <x:c r="I47" s="3" t="str"/>
    </x:row>
    <x:row r="48" ht="33" customHeight="1">
      <x:c r="A48" s="3" t="str"/>
      <x:c r="B48" s="3" t="str">
        <x:f>IF(A48="","",COUNTIFS('Evaluation Log'!$A$2:$A$501,$A48,'Evaluation Log'!$B$2:$B$501,$B$3))</x:f>
      </x:c>
      <x:c r="C48" s="3" t="str">
        <x:f>IF(A48="","",COUNTIFS('Evaluation Log'!$A$2:$A$501,$A48,'Evaluation Log'!$B$2:$B$501,$B$4))</x:f>
      </x:c>
      <x:c r="D48" s="3" t="str">
        <x:f>IF(A48="","",IF(OR(B48&lt;&gt;1,C48&lt;&gt;1),"CHECK_IDS",IFERROR(IF(AND(_xlfn.XLOOKUP($A48&amp;"|"&amp;$B$3,'Evaluation Log'!$AJ$2:$AJ$501,'Evaluation Log'!$AL$2:$AL$501,"MISSING",0)="YES",_xlfn.XLOOKUP($A48&amp;"|"&amp;$B$3,'Evaluation Log'!$AJ$2:$AJ$501,'Evaluation Log'!$P$2:$P$501,"MISSING",0)=$B$6,_xlfn.XLOOKUP($A48&amp;"|"&amp;$B$3,'Evaluation Log'!$AJ$2:$AJ$501,'Evaluation Log'!$D$2:$D$501,"MISSING",0)=$B$5),_xlfn.XLOOKUP($A48&amp;"|"&amp;$B$3,'Evaluation Log'!$AJ$2:$AJ$501,'Evaluation Log'!$L$2:$L$501,"MISSING",0),"NOT_REVIEWED"),"MISSING")))</x:f>
      </x:c>
      <x:c r="E48" s="3" t="str">
        <x:f>IF(A48="","",IF(OR(B48&lt;&gt;1,C48&lt;&gt;1),"CHECK_IDS",IFERROR(IF(AND(_xlfn.XLOOKUP($A48&amp;"|"&amp;$B$4,'Evaluation Log'!$AJ$2:$AJ$501,'Evaluation Log'!$AL$2:$AL$501,"MISSING",0)="YES",_xlfn.XLOOKUP($A48&amp;"|"&amp;$B$4,'Evaluation Log'!$AJ$2:$AJ$501,'Evaluation Log'!$P$2:$P$501,"MISSING",0)=$B$6,_xlfn.XLOOKUP($A48&amp;"|"&amp;$B$4,'Evaluation Log'!$AJ$2:$AJ$501,'Evaluation Log'!$D$2:$D$501,"MISSING",0)=$B$5),_xlfn.XLOOKUP($A48&amp;"|"&amp;$B$4,'Evaluation Log'!$AJ$2:$AJ$501,'Evaluation Log'!$L$2:$L$501,"MISSING",0),"NOT_REVIEWED"),"MISSING")))</x:f>
      </x:c>
      <x:c r="F48" s="3" t="str">
        <x:f>IF(A48="","",IF(OR(B48&lt;&gt;1,C48&lt;&gt;1),"MISSING",IFERROR(IF(_xlfn.XLOOKUP($A48&amp;"|"&amp;$B$3,'Evaluation Log'!$AJ$2:$AJ$501,'Evaluation Log'!$AN$2:$AN$501,"MISSING",0)=_xlfn.XLOOKUP($A48&amp;"|"&amp;$B$4,'Evaluation Log'!$AJ$2:$AJ$501,'Evaluation Log'!$AN$2:$AN$501,"MISSING",0),"YES","NO"),"MISSING")))</x:f>
      </x:c>
      <x:c r="G48" s="3" t="str">
        <x:f>IF(A48="","",IF(OR(B48&lt;&gt;1,C48&lt;&gt;1),"MISSING",IFERROR(IF(_xlfn.XLOOKUP($A48&amp;"|"&amp;$B$3,'Evaluation Log'!$AJ$2:$AJ$501,'Evaluation Log'!$K$2:$K$501,"MISSING",0)=_xlfn.XLOOKUP($A48&amp;"|"&amp;$B$4,'Evaluation Log'!$AJ$2:$AJ$501,'Evaluation Log'!$K$2:$K$501,"MISSING",0),"NO","YES"),"MISSING")))</x:f>
      </x:c>
      <x:c r="H48" s="3" t="str">
        <x:f>IF(A48="","",IF(OR(B48&lt;&gt;1,C48&lt;&gt;1),"CHECK_IDS",IF(F48&lt;&gt;"YES","CHANGED_BRIEF",IF(OR(AND(D48&lt;&gt;"PASS",D48&lt;&gt;"FAIL"),AND(E48&lt;&gt;"PASS",E48&lt;&gt;"FAIL")),"NOT_REVIEWED",IF(G48&lt;&gt;"YES","UNCHANGED_POST",D48&amp;"_TO_"&amp;E48)))))</x:f>
      </x:c>
      <x:c r="I48" s="3" t="str"/>
    </x:row>
    <x:row r="49" ht="33" customHeight="1">
      <x:c r="A49" s="3" t="str"/>
      <x:c r="B49" s="3" t="str">
        <x:f>IF(A49="","",COUNTIFS('Evaluation Log'!$A$2:$A$501,$A49,'Evaluation Log'!$B$2:$B$501,$B$3))</x:f>
      </x:c>
      <x:c r="C49" s="3" t="str">
        <x:f>IF(A49="","",COUNTIFS('Evaluation Log'!$A$2:$A$501,$A49,'Evaluation Log'!$B$2:$B$501,$B$4))</x:f>
      </x:c>
      <x:c r="D49" s="3" t="str">
        <x:f>IF(A49="","",IF(OR(B49&lt;&gt;1,C49&lt;&gt;1),"CHECK_IDS",IFERROR(IF(AND(_xlfn.XLOOKUP($A49&amp;"|"&amp;$B$3,'Evaluation Log'!$AJ$2:$AJ$501,'Evaluation Log'!$AL$2:$AL$501,"MISSING",0)="YES",_xlfn.XLOOKUP($A49&amp;"|"&amp;$B$3,'Evaluation Log'!$AJ$2:$AJ$501,'Evaluation Log'!$P$2:$P$501,"MISSING",0)=$B$6,_xlfn.XLOOKUP($A49&amp;"|"&amp;$B$3,'Evaluation Log'!$AJ$2:$AJ$501,'Evaluation Log'!$D$2:$D$501,"MISSING",0)=$B$5),_xlfn.XLOOKUP($A49&amp;"|"&amp;$B$3,'Evaluation Log'!$AJ$2:$AJ$501,'Evaluation Log'!$L$2:$L$501,"MISSING",0),"NOT_REVIEWED"),"MISSING")))</x:f>
      </x:c>
      <x:c r="E49" s="3" t="str">
        <x:f>IF(A49="","",IF(OR(B49&lt;&gt;1,C49&lt;&gt;1),"CHECK_IDS",IFERROR(IF(AND(_xlfn.XLOOKUP($A49&amp;"|"&amp;$B$4,'Evaluation Log'!$AJ$2:$AJ$501,'Evaluation Log'!$AL$2:$AL$501,"MISSING",0)="YES",_xlfn.XLOOKUP($A49&amp;"|"&amp;$B$4,'Evaluation Log'!$AJ$2:$AJ$501,'Evaluation Log'!$P$2:$P$501,"MISSING",0)=$B$6,_xlfn.XLOOKUP($A49&amp;"|"&amp;$B$4,'Evaluation Log'!$AJ$2:$AJ$501,'Evaluation Log'!$D$2:$D$501,"MISSING",0)=$B$5),_xlfn.XLOOKUP($A49&amp;"|"&amp;$B$4,'Evaluation Log'!$AJ$2:$AJ$501,'Evaluation Log'!$L$2:$L$501,"MISSING",0),"NOT_REVIEWED"),"MISSING")))</x:f>
      </x:c>
      <x:c r="F49" s="3" t="str">
        <x:f>IF(A49="","",IF(OR(B49&lt;&gt;1,C49&lt;&gt;1),"MISSING",IFERROR(IF(_xlfn.XLOOKUP($A49&amp;"|"&amp;$B$3,'Evaluation Log'!$AJ$2:$AJ$501,'Evaluation Log'!$AN$2:$AN$501,"MISSING",0)=_xlfn.XLOOKUP($A49&amp;"|"&amp;$B$4,'Evaluation Log'!$AJ$2:$AJ$501,'Evaluation Log'!$AN$2:$AN$501,"MISSING",0),"YES","NO"),"MISSING")))</x:f>
      </x:c>
      <x:c r="G49" s="3" t="str">
        <x:f>IF(A49="","",IF(OR(B49&lt;&gt;1,C49&lt;&gt;1),"MISSING",IFERROR(IF(_xlfn.XLOOKUP($A49&amp;"|"&amp;$B$3,'Evaluation Log'!$AJ$2:$AJ$501,'Evaluation Log'!$K$2:$K$501,"MISSING",0)=_xlfn.XLOOKUP($A49&amp;"|"&amp;$B$4,'Evaluation Log'!$AJ$2:$AJ$501,'Evaluation Log'!$K$2:$K$501,"MISSING",0),"NO","YES"),"MISSING")))</x:f>
      </x:c>
      <x:c r="H49" s="3" t="str">
        <x:f>IF(A49="","",IF(OR(B49&lt;&gt;1,C49&lt;&gt;1),"CHECK_IDS",IF(F49&lt;&gt;"YES","CHANGED_BRIEF",IF(OR(AND(D49&lt;&gt;"PASS",D49&lt;&gt;"FAIL"),AND(E49&lt;&gt;"PASS",E49&lt;&gt;"FAIL")),"NOT_REVIEWED",IF(G49&lt;&gt;"YES","UNCHANGED_POST",D49&amp;"_TO_"&amp;E49)))))</x:f>
      </x:c>
      <x:c r="I49" s="3" t="str"/>
    </x:row>
    <x:row r="50" ht="33" customHeight="1">
      <x:c r="A50" s="3" t="str"/>
      <x:c r="B50" s="3" t="str">
        <x:f>IF(A50="","",COUNTIFS('Evaluation Log'!$A$2:$A$501,$A50,'Evaluation Log'!$B$2:$B$501,$B$3))</x:f>
      </x:c>
      <x:c r="C50" s="3" t="str">
        <x:f>IF(A50="","",COUNTIFS('Evaluation Log'!$A$2:$A$501,$A50,'Evaluation Log'!$B$2:$B$501,$B$4))</x:f>
      </x:c>
      <x:c r="D50" s="3" t="str">
        <x:f>IF(A50="","",IF(OR(B50&lt;&gt;1,C50&lt;&gt;1),"CHECK_IDS",IFERROR(IF(AND(_xlfn.XLOOKUP($A50&amp;"|"&amp;$B$3,'Evaluation Log'!$AJ$2:$AJ$501,'Evaluation Log'!$AL$2:$AL$501,"MISSING",0)="YES",_xlfn.XLOOKUP($A50&amp;"|"&amp;$B$3,'Evaluation Log'!$AJ$2:$AJ$501,'Evaluation Log'!$P$2:$P$501,"MISSING",0)=$B$6,_xlfn.XLOOKUP($A50&amp;"|"&amp;$B$3,'Evaluation Log'!$AJ$2:$AJ$501,'Evaluation Log'!$D$2:$D$501,"MISSING",0)=$B$5),_xlfn.XLOOKUP($A50&amp;"|"&amp;$B$3,'Evaluation Log'!$AJ$2:$AJ$501,'Evaluation Log'!$L$2:$L$501,"MISSING",0),"NOT_REVIEWED"),"MISSING")))</x:f>
      </x:c>
      <x:c r="E50" s="3" t="str">
        <x:f>IF(A50="","",IF(OR(B50&lt;&gt;1,C50&lt;&gt;1),"CHECK_IDS",IFERROR(IF(AND(_xlfn.XLOOKUP($A50&amp;"|"&amp;$B$4,'Evaluation Log'!$AJ$2:$AJ$501,'Evaluation Log'!$AL$2:$AL$501,"MISSING",0)="YES",_xlfn.XLOOKUP($A50&amp;"|"&amp;$B$4,'Evaluation Log'!$AJ$2:$AJ$501,'Evaluation Log'!$P$2:$P$501,"MISSING",0)=$B$6,_xlfn.XLOOKUP($A50&amp;"|"&amp;$B$4,'Evaluation Log'!$AJ$2:$AJ$501,'Evaluation Log'!$D$2:$D$501,"MISSING",0)=$B$5),_xlfn.XLOOKUP($A50&amp;"|"&amp;$B$4,'Evaluation Log'!$AJ$2:$AJ$501,'Evaluation Log'!$L$2:$L$501,"MISSING",0),"NOT_REVIEWED"),"MISSING")))</x:f>
      </x:c>
      <x:c r="F50" s="3" t="str">
        <x:f>IF(A50="","",IF(OR(B50&lt;&gt;1,C50&lt;&gt;1),"MISSING",IFERROR(IF(_xlfn.XLOOKUP($A50&amp;"|"&amp;$B$3,'Evaluation Log'!$AJ$2:$AJ$501,'Evaluation Log'!$AN$2:$AN$501,"MISSING",0)=_xlfn.XLOOKUP($A50&amp;"|"&amp;$B$4,'Evaluation Log'!$AJ$2:$AJ$501,'Evaluation Log'!$AN$2:$AN$501,"MISSING",0),"YES","NO"),"MISSING")))</x:f>
      </x:c>
      <x:c r="G50" s="3" t="str">
        <x:f>IF(A50="","",IF(OR(B50&lt;&gt;1,C50&lt;&gt;1),"MISSING",IFERROR(IF(_xlfn.XLOOKUP($A50&amp;"|"&amp;$B$3,'Evaluation Log'!$AJ$2:$AJ$501,'Evaluation Log'!$K$2:$K$501,"MISSING",0)=_xlfn.XLOOKUP($A50&amp;"|"&amp;$B$4,'Evaluation Log'!$AJ$2:$AJ$501,'Evaluation Log'!$K$2:$K$501,"MISSING",0),"NO","YES"),"MISSING")))</x:f>
      </x:c>
      <x:c r="H50" s="3" t="str">
        <x:f>IF(A50="","",IF(OR(B50&lt;&gt;1,C50&lt;&gt;1),"CHECK_IDS",IF(F50&lt;&gt;"YES","CHANGED_BRIEF",IF(OR(AND(D50&lt;&gt;"PASS",D50&lt;&gt;"FAIL"),AND(E50&lt;&gt;"PASS",E50&lt;&gt;"FAIL")),"NOT_REVIEWED",IF(G50&lt;&gt;"YES","UNCHANGED_POST",D50&amp;"_TO_"&amp;E50)))))</x:f>
      </x:c>
      <x:c r="I50" s="3" t="str"/>
    </x:row>
    <x:row r="51" ht="33" customHeight="1">
      <x:c r="A51" s="3" t="str"/>
      <x:c r="B51" s="3" t="str">
        <x:f>IF(A51="","",COUNTIFS('Evaluation Log'!$A$2:$A$501,$A51,'Evaluation Log'!$B$2:$B$501,$B$3))</x:f>
      </x:c>
      <x:c r="C51" s="3" t="str">
        <x:f>IF(A51="","",COUNTIFS('Evaluation Log'!$A$2:$A$501,$A51,'Evaluation Log'!$B$2:$B$501,$B$4))</x:f>
      </x:c>
      <x:c r="D51" s="3" t="str">
        <x:f>IF(A51="","",IF(OR(B51&lt;&gt;1,C51&lt;&gt;1),"CHECK_IDS",IFERROR(IF(AND(_xlfn.XLOOKUP($A51&amp;"|"&amp;$B$3,'Evaluation Log'!$AJ$2:$AJ$501,'Evaluation Log'!$AL$2:$AL$501,"MISSING",0)="YES",_xlfn.XLOOKUP($A51&amp;"|"&amp;$B$3,'Evaluation Log'!$AJ$2:$AJ$501,'Evaluation Log'!$P$2:$P$501,"MISSING",0)=$B$6,_xlfn.XLOOKUP($A51&amp;"|"&amp;$B$3,'Evaluation Log'!$AJ$2:$AJ$501,'Evaluation Log'!$D$2:$D$501,"MISSING",0)=$B$5),_xlfn.XLOOKUP($A51&amp;"|"&amp;$B$3,'Evaluation Log'!$AJ$2:$AJ$501,'Evaluation Log'!$L$2:$L$501,"MISSING",0),"NOT_REVIEWED"),"MISSING")))</x:f>
      </x:c>
      <x:c r="E51" s="3" t="str">
        <x:f>IF(A51="","",IF(OR(B51&lt;&gt;1,C51&lt;&gt;1),"CHECK_IDS",IFERROR(IF(AND(_xlfn.XLOOKUP($A51&amp;"|"&amp;$B$4,'Evaluation Log'!$AJ$2:$AJ$501,'Evaluation Log'!$AL$2:$AL$501,"MISSING",0)="YES",_xlfn.XLOOKUP($A51&amp;"|"&amp;$B$4,'Evaluation Log'!$AJ$2:$AJ$501,'Evaluation Log'!$P$2:$P$501,"MISSING",0)=$B$6,_xlfn.XLOOKUP($A51&amp;"|"&amp;$B$4,'Evaluation Log'!$AJ$2:$AJ$501,'Evaluation Log'!$D$2:$D$501,"MISSING",0)=$B$5),_xlfn.XLOOKUP($A51&amp;"|"&amp;$B$4,'Evaluation Log'!$AJ$2:$AJ$501,'Evaluation Log'!$L$2:$L$501,"MISSING",0),"NOT_REVIEWED"),"MISSING")))</x:f>
      </x:c>
      <x:c r="F51" s="3" t="str">
        <x:f>IF(A51="","",IF(OR(B51&lt;&gt;1,C51&lt;&gt;1),"MISSING",IFERROR(IF(_xlfn.XLOOKUP($A51&amp;"|"&amp;$B$3,'Evaluation Log'!$AJ$2:$AJ$501,'Evaluation Log'!$AN$2:$AN$501,"MISSING",0)=_xlfn.XLOOKUP($A51&amp;"|"&amp;$B$4,'Evaluation Log'!$AJ$2:$AJ$501,'Evaluation Log'!$AN$2:$AN$501,"MISSING",0),"YES","NO"),"MISSING")))</x:f>
      </x:c>
      <x:c r="G51" s="3" t="str">
        <x:f>IF(A51="","",IF(OR(B51&lt;&gt;1,C51&lt;&gt;1),"MISSING",IFERROR(IF(_xlfn.XLOOKUP($A51&amp;"|"&amp;$B$3,'Evaluation Log'!$AJ$2:$AJ$501,'Evaluation Log'!$K$2:$K$501,"MISSING",0)=_xlfn.XLOOKUP($A51&amp;"|"&amp;$B$4,'Evaluation Log'!$AJ$2:$AJ$501,'Evaluation Log'!$K$2:$K$501,"MISSING",0),"NO","YES"),"MISSING")))</x:f>
      </x:c>
      <x:c r="H51" s="3" t="str">
        <x:f>IF(A51="","",IF(OR(B51&lt;&gt;1,C51&lt;&gt;1),"CHECK_IDS",IF(F51&lt;&gt;"YES","CHANGED_BRIEF",IF(OR(AND(D51&lt;&gt;"PASS",D51&lt;&gt;"FAIL"),AND(E51&lt;&gt;"PASS",E51&lt;&gt;"FAIL")),"NOT_REVIEWED",IF(G51&lt;&gt;"YES","UNCHANGED_POST",D51&amp;"_TO_"&amp;E51)))))</x:f>
      </x:c>
      <x:c r="I51" s="3" t="str"/>
    </x:row>
    <x:row r="52" ht="33" customHeight="1">
      <x:c r="A52" s="3" t="str"/>
      <x:c r="B52" s="3" t="str">
        <x:f>IF(A52="","",COUNTIFS('Evaluation Log'!$A$2:$A$501,$A52,'Evaluation Log'!$B$2:$B$501,$B$3))</x:f>
      </x:c>
      <x:c r="C52" s="3" t="str">
        <x:f>IF(A52="","",COUNTIFS('Evaluation Log'!$A$2:$A$501,$A52,'Evaluation Log'!$B$2:$B$501,$B$4))</x:f>
      </x:c>
      <x:c r="D52" s="3" t="str">
        <x:f>IF(A52="","",IF(OR(B52&lt;&gt;1,C52&lt;&gt;1),"CHECK_IDS",IFERROR(IF(AND(_xlfn.XLOOKUP($A52&amp;"|"&amp;$B$3,'Evaluation Log'!$AJ$2:$AJ$501,'Evaluation Log'!$AL$2:$AL$501,"MISSING",0)="YES",_xlfn.XLOOKUP($A52&amp;"|"&amp;$B$3,'Evaluation Log'!$AJ$2:$AJ$501,'Evaluation Log'!$P$2:$P$501,"MISSING",0)=$B$6,_xlfn.XLOOKUP($A52&amp;"|"&amp;$B$3,'Evaluation Log'!$AJ$2:$AJ$501,'Evaluation Log'!$D$2:$D$501,"MISSING",0)=$B$5),_xlfn.XLOOKUP($A52&amp;"|"&amp;$B$3,'Evaluation Log'!$AJ$2:$AJ$501,'Evaluation Log'!$L$2:$L$501,"MISSING",0),"NOT_REVIEWED"),"MISSING")))</x:f>
      </x:c>
      <x:c r="E52" s="3" t="str">
        <x:f>IF(A52="","",IF(OR(B52&lt;&gt;1,C52&lt;&gt;1),"CHECK_IDS",IFERROR(IF(AND(_xlfn.XLOOKUP($A52&amp;"|"&amp;$B$4,'Evaluation Log'!$AJ$2:$AJ$501,'Evaluation Log'!$AL$2:$AL$501,"MISSING",0)="YES",_xlfn.XLOOKUP($A52&amp;"|"&amp;$B$4,'Evaluation Log'!$AJ$2:$AJ$501,'Evaluation Log'!$P$2:$P$501,"MISSING",0)=$B$6,_xlfn.XLOOKUP($A52&amp;"|"&amp;$B$4,'Evaluation Log'!$AJ$2:$AJ$501,'Evaluation Log'!$D$2:$D$501,"MISSING",0)=$B$5),_xlfn.XLOOKUP($A52&amp;"|"&amp;$B$4,'Evaluation Log'!$AJ$2:$AJ$501,'Evaluation Log'!$L$2:$L$501,"MISSING",0),"NOT_REVIEWED"),"MISSING")))</x:f>
      </x:c>
      <x:c r="F52" s="3" t="str">
        <x:f>IF(A52="","",IF(OR(B52&lt;&gt;1,C52&lt;&gt;1),"MISSING",IFERROR(IF(_xlfn.XLOOKUP($A52&amp;"|"&amp;$B$3,'Evaluation Log'!$AJ$2:$AJ$501,'Evaluation Log'!$AN$2:$AN$501,"MISSING",0)=_xlfn.XLOOKUP($A52&amp;"|"&amp;$B$4,'Evaluation Log'!$AJ$2:$AJ$501,'Evaluation Log'!$AN$2:$AN$501,"MISSING",0),"YES","NO"),"MISSING")))</x:f>
      </x:c>
      <x:c r="G52" s="3" t="str">
        <x:f>IF(A52="","",IF(OR(B52&lt;&gt;1,C52&lt;&gt;1),"MISSING",IFERROR(IF(_xlfn.XLOOKUP($A52&amp;"|"&amp;$B$3,'Evaluation Log'!$AJ$2:$AJ$501,'Evaluation Log'!$K$2:$K$501,"MISSING",0)=_xlfn.XLOOKUP($A52&amp;"|"&amp;$B$4,'Evaluation Log'!$AJ$2:$AJ$501,'Evaluation Log'!$K$2:$K$501,"MISSING",0),"NO","YES"),"MISSING")))</x:f>
      </x:c>
      <x:c r="H52" s="3" t="str">
        <x:f>IF(A52="","",IF(OR(B52&lt;&gt;1,C52&lt;&gt;1),"CHECK_IDS",IF(F52&lt;&gt;"YES","CHANGED_BRIEF",IF(OR(AND(D52&lt;&gt;"PASS",D52&lt;&gt;"FAIL"),AND(E52&lt;&gt;"PASS",E52&lt;&gt;"FAIL")),"NOT_REVIEWED",IF(G52&lt;&gt;"YES","UNCHANGED_POST",D52&amp;"_TO_"&amp;E52)))))</x:f>
      </x:c>
      <x:c r="I52" s="3" t="str"/>
    </x:row>
    <x:row r="53" ht="33" customHeight="1">
      <x:c r="A53" s="3" t="str"/>
      <x:c r="B53" s="3" t="str">
        <x:f>IF(A53="","",COUNTIFS('Evaluation Log'!$A$2:$A$501,$A53,'Evaluation Log'!$B$2:$B$501,$B$3))</x:f>
      </x:c>
      <x:c r="C53" s="3" t="str">
        <x:f>IF(A53="","",COUNTIFS('Evaluation Log'!$A$2:$A$501,$A53,'Evaluation Log'!$B$2:$B$501,$B$4))</x:f>
      </x:c>
      <x:c r="D53" s="3" t="str">
        <x:f>IF(A53="","",IF(OR(B53&lt;&gt;1,C53&lt;&gt;1),"CHECK_IDS",IFERROR(IF(AND(_xlfn.XLOOKUP($A53&amp;"|"&amp;$B$3,'Evaluation Log'!$AJ$2:$AJ$501,'Evaluation Log'!$AL$2:$AL$501,"MISSING",0)="YES",_xlfn.XLOOKUP($A53&amp;"|"&amp;$B$3,'Evaluation Log'!$AJ$2:$AJ$501,'Evaluation Log'!$P$2:$P$501,"MISSING",0)=$B$6,_xlfn.XLOOKUP($A53&amp;"|"&amp;$B$3,'Evaluation Log'!$AJ$2:$AJ$501,'Evaluation Log'!$D$2:$D$501,"MISSING",0)=$B$5),_xlfn.XLOOKUP($A53&amp;"|"&amp;$B$3,'Evaluation Log'!$AJ$2:$AJ$501,'Evaluation Log'!$L$2:$L$501,"MISSING",0),"NOT_REVIEWED"),"MISSING")))</x:f>
      </x:c>
      <x:c r="E53" s="3" t="str">
        <x:f>IF(A53="","",IF(OR(B53&lt;&gt;1,C53&lt;&gt;1),"CHECK_IDS",IFERROR(IF(AND(_xlfn.XLOOKUP($A53&amp;"|"&amp;$B$4,'Evaluation Log'!$AJ$2:$AJ$501,'Evaluation Log'!$AL$2:$AL$501,"MISSING",0)="YES",_xlfn.XLOOKUP($A53&amp;"|"&amp;$B$4,'Evaluation Log'!$AJ$2:$AJ$501,'Evaluation Log'!$P$2:$P$501,"MISSING",0)=$B$6,_xlfn.XLOOKUP($A53&amp;"|"&amp;$B$4,'Evaluation Log'!$AJ$2:$AJ$501,'Evaluation Log'!$D$2:$D$501,"MISSING",0)=$B$5),_xlfn.XLOOKUP($A53&amp;"|"&amp;$B$4,'Evaluation Log'!$AJ$2:$AJ$501,'Evaluation Log'!$L$2:$L$501,"MISSING",0),"NOT_REVIEWED"),"MISSING")))</x:f>
      </x:c>
      <x:c r="F53" s="3" t="str">
        <x:f>IF(A53="","",IF(OR(B53&lt;&gt;1,C53&lt;&gt;1),"MISSING",IFERROR(IF(_xlfn.XLOOKUP($A53&amp;"|"&amp;$B$3,'Evaluation Log'!$AJ$2:$AJ$501,'Evaluation Log'!$AN$2:$AN$501,"MISSING",0)=_xlfn.XLOOKUP($A53&amp;"|"&amp;$B$4,'Evaluation Log'!$AJ$2:$AJ$501,'Evaluation Log'!$AN$2:$AN$501,"MISSING",0),"YES","NO"),"MISSING")))</x:f>
      </x:c>
      <x:c r="G53" s="3" t="str">
        <x:f>IF(A53="","",IF(OR(B53&lt;&gt;1,C53&lt;&gt;1),"MISSING",IFERROR(IF(_xlfn.XLOOKUP($A53&amp;"|"&amp;$B$3,'Evaluation Log'!$AJ$2:$AJ$501,'Evaluation Log'!$K$2:$K$501,"MISSING",0)=_xlfn.XLOOKUP($A53&amp;"|"&amp;$B$4,'Evaluation Log'!$AJ$2:$AJ$501,'Evaluation Log'!$K$2:$K$501,"MISSING",0),"NO","YES"),"MISSING")))</x:f>
      </x:c>
      <x:c r="H53" s="3" t="str">
        <x:f>IF(A53="","",IF(OR(B53&lt;&gt;1,C53&lt;&gt;1),"CHECK_IDS",IF(F53&lt;&gt;"YES","CHANGED_BRIEF",IF(OR(AND(D53&lt;&gt;"PASS",D53&lt;&gt;"FAIL"),AND(E53&lt;&gt;"PASS",E53&lt;&gt;"FAIL")),"NOT_REVIEWED",IF(G53&lt;&gt;"YES","UNCHANGED_POST",D53&amp;"_TO_"&amp;E53)))))</x:f>
      </x:c>
      <x:c r="I53" s="3" t="str"/>
    </x:row>
    <x:row r="54" ht="33" customHeight="1">
      <x:c r="A54" s="3" t="str"/>
      <x:c r="B54" s="3" t="str">
        <x:f>IF(A54="","",COUNTIFS('Evaluation Log'!$A$2:$A$501,$A54,'Evaluation Log'!$B$2:$B$501,$B$3))</x:f>
      </x:c>
      <x:c r="C54" s="3" t="str">
        <x:f>IF(A54="","",COUNTIFS('Evaluation Log'!$A$2:$A$501,$A54,'Evaluation Log'!$B$2:$B$501,$B$4))</x:f>
      </x:c>
      <x:c r="D54" s="3" t="str">
        <x:f>IF(A54="","",IF(OR(B54&lt;&gt;1,C54&lt;&gt;1),"CHECK_IDS",IFERROR(IF(AND(_xlfn.XLOOKUP($A54&amp;"|"&amp;$B$3,'Evaluation Log'!$AJ$2:$AJ$501,'Evaluation Log'!$AL$2:$AL$501,"MISSING",0)="YES",_xlfn.XLOOKUP($A54&amp;"|"&amp;$B$3,'Evaluation Log'!$AJ$2:$AJ$501,'Evaluation Log'!$P$2:$P$501,"MISSING",0)=$B$6,_xlfn.XLOOKUP($A54&amp;"|"&amp;$B$3,'Evaluation Log'!$AJ$2:$AJ$501,'Evaluation Log'!$D$2:$D$501,"MISSING",0)=$B$5),_xlfn.XLOOKUP($A54&amp;"|"&amp;$B$3,'Evaluation Log'!$AJ$2:$AJ$501,'Evaluation Log'!$L$2:$L$501,"MISSING",0),"NOT_REVIEWED"),"MISSING")))</x:f>
      </x:c>
      <x:c r="E54" s="3" t="str">
        <x:f>IF(A54="","",IF(OR(B54&lt;&gt;1,C54&lt;&gt;1),"CHECK_IDS",IFERROR(IF(AND(_xlfn.XLOOKUP($A54&amp;"|"&amp;$B$4,'Evaluation Log'!$AJ$2:$AJ$501,'Evaluation Log'!$AL$2:$AL$501,"MISSING",0)="YES",_xlfn.XLOOKUP($A54&amp;"|"&amp;$B$4,'Evaluation Log'!$AJ$2:$AJ$501,'Evaluation Log'!$P$2:$P$501,"MISSING",0)=$B$6,_xlfn.XLOOKUP($A54&amp;"|"&amp;$B$4,'Evaluation Log'!$AJ$2:$AJ$501,'Evaluation Log'!$D$2:$D$501,"MISSING",0)=$B$5),_xlfn.XLOOKUP($A54&amp;"|"&amp;$B$4,'Evaluation Log'!$AJ$2:$AJ$501,'Evaluation Log'!$L$2:$L$501,"MISSING",0),"NOT_REVIEWED"),"MISSING")))</x:f>
      </x:c>
      <x:c r="F54" s="3" t="str">
        <x:f>IF(A54="","",IF(OR(B54&lt;&gt;1,C54&lt;&gt;1),"MISSING",IFERROR(IF(_xlfn.XLOOKUP($A54&amp;"|"&amp;$B$3,'Evaluation Log'!$AJ$2:$AJ$501,'Evaluation Log'!$AN$2:$AN$501,"MISSING",0)=_xlfn.XLOOKUP($A54&amp;"|"&amp;$B$4,'Evaluation Log'!$AJ$2:$AJ$501,'Evaluation Log'!$AN$2:$AN$501,"MISSING",0),"YES","NO"),"MISSING")))</x:f>
      </x:c>
      <x:c r="G54" s="3" t="str">
        <x:f>IF(A54="","",IF(OR(B54&lt;&gt;1,C54&lt;&gt;1),"MISSING",IFERROR(IF(_xlfn.XLOOKUP($A54&amp;"|"&amp;$B$3,'Evaluation Log'!$AJ$2:$AJ$501,'Evaluation Log'!$K$2:$K$501,"MISSING",0)=_xlfn.XLOOKUP($A54&amp;"|"&amp;$B$4,'Evaluation Log'!$AJ$2:$AJ$501,'Evaluation Log'!$K$2:$K$501,"MISSING",0),"NO","YES"),"MISSING")))</x:f>
      </x:c>
      <x:c r="H54" s="3" t="str">
        <x:f>IF(A54="","",IF(OR(B54&lt;&gt;1,C54&lt;&gt;1),"CHECK_IDS",IF(F54&lt;&gt;"YES","CHANGED_BRIEF",IF(OR(AND(D54&lt;&gt;"PASS",D54&lt;&gt;"FAIL"),AND(E54&lt;&gt;"PASS",E54&lt;&gt;"FAIL")),"NOT_REVIEWED",IF(G54&lt;&gt;"YES","UNCHANGED_POST",D54&amp;"_TO_"&amp;E54)))))</x:f>
      </x:c>
      <x:c r="I54" s="3" t="str"/>
    </x:row>
    <x:row r="55" ht="33" customHeight="1">
      <x:c r="A55" s="3" t="str"/>
      <x:c r="B55" s="3" t="str">
        <x:f>IF(A55="","",COUNTIFS('Evaluation Log'!$A$2:$A$501,$A55,'Evaluation Log'!$B$2:$B$501,$B$3))</x:f>
      </x:c>
      <x:c r="C55" s="3" t="str">
        <x:f>IF(A55="","",COUNTIFS('Evaluation Log'!$A$2:$A$501,$A55,'Evaluation Log'!$B$2:$B$501,$B$4))</x:f>
      </x:c>
      <x:c r="D55" s="3" t="str">
        <x:f>IF(A55="","",IF(OR(B55&lt;&gt;1,C55&lt;&gt;1),"CHECK_IDS",IFERROR(IF(AND(_xlfn.XLOOKUP($A55&amp;"|"&amp;$B$3,'Evaluation Log'!$AJ$2:$AJ$501,'Evaluation Log'!$AL$2:$AL$501,"MISSING",0)="YES",_xlfn.XLOOKUP($A55&amp;"|"&amp;$B$3,'Evaluation Log'!$AJ$2:$AJ$501,'Evaluation Log'!$P$2:$P$501,"MISSING",0)=$B$6,_xlfn.XLOOKUP($A55&amp;"|"&amp;$B$3,'Evaluation Log'!$AJ$2:$AJ$501,'Evaluation Log'!$D$2:$D$501,"MISSING",0)=$B$5),_xlfn.XLOOKUP($A55&amp;"|"&amp;$B$3,'Evaluation Log'!$AJ$2:$AJ$501,'Evaluation Log'!$L$2:$L$501,"MISSING",0),"NOT_REVIEWED"),"MISSING")))</x:f>
      </x:c>
      <x:c r="E55" s="3" t="str">
        <x:f>IF(A55="","",IF(OR(B55&lt;&gt;1,C55&lt;&gt;1),"CHECK_IDS",IFERROR(IF(AND(_xlfn.XLOOKUP($A55&amp;"|"&amp;$B$4,'Evaluation Log'!$AJ$2:$AJ$501,'Evaluation Log'!$AL$2:$AL$501,"MISSING",0)="YES",_xlfn.XLOOKUP($A55&amp;"|"&amp;$B$4,'Evaluation Log'!$AJ$2:$AJ$501,'Evaluation Log'!$P$2:$P$501,"MISSING",0)=$B$6,_xlfn.XLOOKUP($A55&amp;"|"&amp;$B$4,'Evaluation Log'!$AJ$2:$AJ$501,'Evaluation Log'!$D$2:$D$501,"MISSING",0)=$B$5),_xlfn.XLOOKUP($A55&amp;"|"&amp;$B$4,'Evaluation Log'!$AJ$2:$AJ$501,'Evaluation Log'!$L$2:$L$501,"MISSING",0),"NOT_REVIEWED"),"MISSING")))</x:f>
      </x:c>
      <x:c r="F55" s="3" t="str">
        <x:f>IF(A55="","",IF(OR(B55&lt;&gt;1,C55&lt;&gt;1),"MISSING",IFERROR(IF(_xlfn.XLOOKUP($A55&amp;"|"&amp;$B$3,'Evaluation Log'!$AJ$2:$AJ$501,'Evaluation Log'!$AN$2:$AN$501,"MISSING",0)=_xlfn.XLOOKUP($A55&amp;"|"&amp;$B$4,'Evaluation Log'!$AJ$2:$AJ$501,'Evaluation Log'!$AN$2:$AN$501,"MISSING",0),"YES","NO"),"MISSING")))</x:f>
      </x:c>
      <x:c r="G55" s="3" t="str">
        <x:f>IF(A55="","",IF(OR(B55&lt;&gt;1,C55&lt;&gt;1),"MISSING",IFERROR(IF(_xlfn.XLOOKUP($A55&amp;"|"&amp;$B$3,'Evaluation Log'!$AJ$2:$AJ$501,'Evaluation Log'!$K$2:$K$501,"MISSING",0)=_xlfn.XLOOKUP($A55&amp;"|"&amp;$B$4,'Evaluation Log'!$AJ$2:$AJ$501,'Evaluation Log'!$K$2:$K$501,"MISSING",0),"NO","YES"),"MISSING")))</x:f>
      </x:c>
      <x:c r="H55" s="3" t="str">
        <x:f>IF(A55="","",IF(OR(B55&lt;&gt;1,C55&lt;&gt;1),"CHECK_IDS",IF(F55&lt;&gt;"YES","CHANGED_BRIEF",IF(OR(AND(D55&lt;&gt;"PASS",D55&lt;&gt;"FAIL"),AND(E55&lt;&gt;"PASS",E55&lt;&gt;"FAIL")),"NOT_REVIEWED",IF(G55&lt;&gt;"YES","UNCHANGED_POST",D55&amp;"_TO_"&amp;E55)))))</x:f>
      </x:c>
      <x:c r="I55" s="3" t="str"/>
    </x:row>
    <x:row r="56" ht="33" customHeight="1">
      <x:c r="A56" s="3" t="str"/>
      <x:c r="B56" s="3" t="str">
        <x:f>IF(A56="","",COUNTIFS('Evaluation Log'!$A$2:$A$501,$A56,'Evaluation Log'!$B$2:$B$501,$B$3))</x:f>
      </x:c>
      <x:c r="C56" s="3" t="str">
        <x:f>IF(A56="","",COUNTIFS('Evaluation Log'!$A$2:$A$501,$A56,'Evaluation Log'!$B$2:$B$501,$B$4))</x:f>
      </x:c>
      <x:c r="D56" s="3" t="str">
        <x:f>IF(A56="","",IF(OR(B56&lt;&gt;1,C56&lt;&gt;1),"CHECK_IDS",IFERROR(IF(AND(_xlfn.XLOOKUP($A56&amp;"|"&amp;$B$3,'Evaluation Log'!$AJ$2:$AJ$501,'Evaluation Log'!$AL$2:$AL$501,"MISSING",0)="YES",_xlfn.XLOOKUP($A56&amp;"|"&amp;$B$3,'Evaluation Log'!$AJ$2:$AJ$501,'Evaluation Log'!$P$2:$P$501,"MISSING",0)=$B$6,_xlfn.XLOOKUP($A56&amp;"|"&amp;$B$3,'Evaluation Log'!$AJ$2:$AJ$501,'Evaluation Log'!$D$2:$D$501,"MISSING",0)=$B$5),_xlfn.XLOOKUP($A56&amp;"|"&amp;$B$3,'Evaluation Log'!$AJ$2:$AJ$501,'Evaluation Log'!$L$2:$L$501,"MISSING",0),"NOT_REVIEWED"),"MISSING")))</x:f>
      </x:c>
      <x:c r="E56" s="3" t="str">
        <x:f>IF(A56="","",IF(OR(B56&lt;&gt;1,C56&lt;&gt;1),"CHECK_IDS",IFERROR(IF(AND(_xlfn.XLOOKUP($A56&amp;"|"&amp;$B$4,'Evaluation Log'!$AJ$2:$AJ$501,'Evaluation Log'!$AL$2:$AL$501,"MISSING",0)="YES",_xlfn.XLOOKUP($A56&amp;"|"&amp;$B$4,'Evaluation Log'!$AJ$2:$AJ$501,'Evaluation Log'!$P$2:$P$501,"MISSING",0)=$B$6,_xlfn.XLOOKUP($A56&amp;"|"&amp;$B$4,'Evaluation Log'!$AJ$2:$AJ$501,'Evaluation Log'!$D$2:$D$501,"MISSING",0)=$B$5),_xlfn.XLOOKUP($A56&amp;"|"&amp;$B$4,'Evaluation Log'!$AJ$2:$AJ$501,'Evaluation Log'!$L$2:$L$501,"MISSING",0),"NOT_REVIEWED"),"MISSING")))</x:f>
      </x:c>
      <x:c r="F56" s="3" t="str">
        <x:f>IF(A56="","",IF(OR(B56&lt;&gt;1,C56&lt;&gt;1),"MISSING",IFERROR(IF(_xlfn.XLOOKUP($A56&amp;"|"&amp;$B$3,'Evaluation Log'!$AJ$2:$AJ$501,'Evaluation Log'!$AN$2:$AN$501,"MISSING",0)=_xlfn.XLOOKUP($A56&amp;"|"&amp;$B$4,'Evaluation Log'!$AJ$2:$AJ$501,'Evaluation Log'!$AN$2:$AN$501,"MISSING",0),"YES","NO"),"MISSING")))</x:f>
      </x:c>
      <x:c r="G56" s="3" t="str">
        <x:f>IF(A56="","",IF(OR(B56&lt;&gt;1,C56&lt;&gt;1),"MISSING",IFERROR(IF(_xlfn.XLOOKUP($A56&amp;"|"&amp;$B$3,'Evaluation Log'!$AJ$2:$AJ$501,'Evaluation Log'!$K$2:$K$501,"MISSING",0)=_xlfn.XLOOKUP($A56&amp;"|"&amp;$B$4,'Evaluation Log'!$AJ$2:$AJ$501,'Evaluation Log'!$K$2:$K$501,"MISSING",0),"NO","YES"),"MISSING")))</x:f>
      </x:c>
      <x:c r="H56" s="3" t="str">
        <x:f>IF(A56="","",IF(OR(B56&lt;&gt;1,C56&lt;&gt;1),"CHECK_IDS",IF(F56&lt;&gt;"YES","CHANGED_BRIEF",IF(OR(AND(D56&lt;&gt;"PASS",D56&lt;&gt;"FAIL"),AND(E56&lt;&gt;"PASS",E56&lt;&gt;"FAIL")),"NOT_REVIEWED",IF(G56&lt;&gt;"YES","UNCHANGED_POST",D56&amp;"_TO_"&amp;E56)))))</x:f>
      </x:c>
      <x:c r="I56" s="3" t="str"/>
    </x:row>
    <x:row r="57" ht="33" customHeight="1">
      <x:c r="A57" s="3" t="str"/>
      <x:c r="B57" s="3" t="str">
        <x:f>IF(A57="","",COUNTIFS('Evaluation Log'!$A$2:$A$501,$A57,'Evaluation Log'!$B$2:$B$501,$B$3))</x:f>
      </x:c>
      <x:c r="C57" s="3" t="str">
        <x:f>IF(A57="","",COUNTIFS('Evaluation Log'!$A$2:$A$501,$A57,'Evaluation Log'!$B$2:$B$501,$B$4))</x:f>
      </x:c>
      <x:c r="D57" s="3" t="str">
        <x:f>IF(A57="","",IF(OR(B57&lt;&gt;1,C57&lt;&gt;1),"CHECK_IDS",IFERROR(IF(AND(_xlfn.XLOOKUP($A57&amp;"|"&amp;$B$3,'Evaluation Log'!$AJ$2:$AJ$501,'Evaluation Log'!$AL$2:$AL$501,"MISSING",0)="YES",_xlfn.XLOOKUP($A57&amp;"|"&amp;$B$3,'Evaluation Log'!$AJ$2:$AJ$501,'Evaluation Log'!$P$2:$P$501,"MISSING",0)=$B$6,_xlfn.XLOOKUP($A57&amp;"|"&amp;$B$3,'Evaluation Log'!$AJ$2:$AJ$501,'Evaluation Log'!$D$2:$D$501,"MISSING",0)=$B$5),_xlfn.XLOOKUP($A57&amp;"|"&amp;$B$3,'Evaluation Log'!$AJ$2:$AJ$501,'Evaluation Log'!$L$2:$L$501,"MISSING",0),"NOT_REVIEWED"),"MISSING")))</x:f>
      </x:c>
      <x:c r="E57" s="3" t="str">
        <x:f>IF(A57="","",IF(OR(B57&lt;&gt;1,C57&lt;&gt;1),"CHECK_IDS",IFERROR(IF(AND(_xlfn.XLOOKUP($A57&amp;"|"&amp;$B$4,'Evaluation Log'!$AJ$2:$AJ$501,'Evaluation Log'!$AL$2:$AL$501,"MISSING",0)="YES",_xlfn.XLOOKUP($A57&amp;"|"&amp;$B$4,'Evaluation Log'!$AJ$2:$AJ$501,'Evaluation Log'!$P$2:$P$501,"MISSING",0)=$B$6,_xlfn.XLOOKUP($A57&amp;"|"&amp;$B$4,'Evaluation Log'!$AJ$2:$AJ$501,'Evaluation Log'!$D$2:$D$501,"MISSING",0)=$B$5),_xlfn.XLOOKUP($A57&amp;"|"&amp;$B$4,'Evaluation Log'!$AJ$2:$AJ$501,'Evaluation Log'!$L$2:$L$501,"MISSING",0),"NOT_REVIEWED"),"MISSING")))</x:f>
      </x:c>
      <x:c r="F57" s="3" t="str">
        <x:f>IF(A57="","",IF(OR(B57&lt;&gt;1,C57&lt;&gt;1),"MISSING",IFERROR(IF(_xlfn.XLOOKUP($A57&amp;"|"&amp;$B$3,'Evaluation Log'!$AJ$2:$AJ$501,'Evaluation Log'!$AN$2:$AN$501,"MISSING",0)=_xlfn.XLOOKUP($A57&amp;"|"&amp;$B$4,'Evaluation Log'!$AJ$2:$AJ$501,'Evaluation Log'!$AN$2:$AN$501,"MISSING",0),"YES","NO"),"MISSING")))</x:f>
      </x:c>
      <x:c r="G57" s="3" t="str">
        <x:f>IF(A57="","",IF(OR(B57&lt;&gt;1,C57&lt;&gt;1),"MISSING",IFERROR(IF(_xlfn.XLOOKUP($A57&amp;"|"&amp;$B$3,'Evaluation Log'!$AJ$2:$AJ$501,'Evaluation Log'!$K$2:$K$501,"MISSING",0)=_xlfn.XLOOKUP($A57&amp;"|"&amp;$B$4,'Evaluation Log'!$AJ$2:$AJ$501,'Evaluation Log'!$K$2:$K$501,"MISSING",0),"NO","YES"),"MISSING")))</x:f>
      </x:c>
      <x:c r="H57" s="3" t="str">
        <x:f>IF(A57="","",IF(OR(B57&lt;&gt;1,C57&lt;&gt;1),"CHECK_IDS",IF(F57&lt;&gt;"YES","CHANGED_BRIEF",IF(OR(AND(D57&lt;&gt;"PASS",D57&lt;&gt;"FAIL"),AND(E57&lt;&gt;"PASS",E57&lt;&gt;"FAIL")),"NOT_REVIEWED",IF(G57&lt;&gt;"YES","UNCHANGED_POST",D57&amp;"_TO_"&amp;E57)))))</x:f>
      </x:c>
      <x:c r="I57" s="3" t="str"/>
    </x:row>
    <x:row r="58" ht="33" customHeight="1">
      <x:c r="A58" s="3" t="str"/>
      <x:c r="B58" s="3" t="str">
        <x:f>IF(A58="","",COUNTIFS('Evaluation Log'!$A$2:$A$501,$A58,'Evaluation Log'!$B$2:$B$501,$B$3))</x:f>
      </x:c>
      <x:c r="C58" s="3" t="str">
        <x:f>IF(A58="","",COUNTIFS('Evaluation Log'!$A$2:$A$501,$A58,'Evaluation Log'!$B$2:$B$501,$B$4))</x:f>
      </x:c>
      <x:c r="D58" s="3" t="str">
        <x:f>IF(A58="","",IF(OR(B58&lt;&gt;1,C58&lt;&gt;1),"CHECK_IDS",IFERROR(IF(AND(_xlfn.XLOOKUP($A58&amp;"|"&amp;$B$3,'Evaluation Log'!$AJ$2:$AJ$501,'Evaluation Log'!$AL$2:$AL$501,"MISSING",0)="YES",_xlfn.XLOOKUP($A58&amp;"|"&amp;$B$3,'Evaluation Log'!$AJ$2:$AJ$501,'Evaluation Log'!$P$2:$P$501,"MISSING",0)=$B$6,_xlfn.XLOOKUP($A58&amp;"|"&amp;$B$3,'Evaluation Log'!$AJ$2:$AJ$501,'Evaluation Log'!$D$2:$D$501,"MISSING",0)=$B$5),_xlfn.XLOOKUP($A58&amp;"|"&amp;$B$3,'Evaluation Log'!$AJ$2:$AJ$501,'Evaluation Log'!$L$2:$L$501,"MISSING",0),"NOT_REVIEWED"),"MISSING")))</x:f>
      </x:c>
      <x:c r="E58" s="3" t="str">
        <x:f>IF(A58="","",IF(OR(B58&lt;&gt;1,C58&lt;&gt;1),"CHECK_IDS",IFERROR(IF(AND(_xlfn.XLOOKUP($A58&amp;"|"&amp;$B$4,'Evaluation Log'!$AJ$2:$AJ$501,'Evaluation Log'!$AL$2:$AL$501,"MISSING",0)="YES",_xlfn.XLOOKUP($A58&amp;"|"&amp;$B$4,'Evaluation Log'!$AJ$2:$AJ$501,'Evaluation Log'!$P$2:$P$501,"MISSING",0)=$B$6,_xlfn.XLOOKUP($A58&amp;"|"&amp;$B$4,'Evaluation Log'!$AJ$2:$AJ$501,'Evaluation Log'!$D$2:$D$501,"MISSING",0)=$B$5),_xlfn.XLOOKUP($A58&amp;"|"&amp;$B$4,'Evaluation Log'!$AJ$2:$AJ$501,'Evaluation Log'!$L$2:$L$501,"MISSING",0),"NOT_REVIEWED"),"MISSING")))</x:f>
      </x:c>
      <x:c r="F58" s="3" t="str">
        <x:f>IF(A58="","",IF(OR(B58&lt;&gt;1,C58&lt;&gt;1),"MISSING",IFERROR(IF(_xlfn.XLOOKUP($A58&amp;"|"&amp;$B$3,'Evaluation Log'!$AJ$2:$AJ$501,'Evaluation Log'!$AN$2:$AN$501,"MISSING",0)=_xlfn.XLOOKUP($A58&amp;"|"&amp;$B$4,'Evaluation Log'!$AJ$2:$AJ$501,'Evaluation Log'!$AN$2:$AN$501,"MISSING",0),"YES","NO"),"MISSING")))</x:f>
      </x:c>
      <x:c r="G58" s="3" t="str">
        <x:f>IF(A58="","",IF(OR(B58&lt;&gt;1,C58&lt;&gt;1),"MISSING",IFERROR(IF(_xlfn.XLOOKUP($A58&amp;"|"&amp;$B$3,'Evaluation Log'!$AJ$2:$AJ$501,'Evaluation Log'!$K$2:$K$501,"MISSING",0)=_xlfn.XLOOKUP($A58&amp;"|"&amp;$B$4,'Evaluation Log'!$AJ$2:$AJ$501,'Evaluation Log'!$K$2:$K$501,"MISSING",0),"NO","YES"),"MISSING")))</x:f>
      </x:c>
      <x:c r="H58" s="3" t="str">
        <x:f>IF(A58="","",IF(OR(B58&lt;&gt;1,C58&lt;&gt;1),"CHECK_IDS",IF(F58&lt;&gt;"YES","CHANGED_BRIEF",IF(OR(AND(D58&lt;&gt;"PASS",D58&lt;&gt;"FAIL"),AND(E58&lt;&gt;"PASS",E58&lt;&gt;"FAIL")),"NOT_REVIEWED",IF(G58&lt;&gt;"YES","UNCHANGED_POST",D58&amp;"_TO_"&amp;E58)))))</x:f>
      </x:c>
      <x:c r="I58" s="3" t="str"/>
    </x:row>
    <x:row r="59" ht="33" customHeight="1">
      <x:c r="A59" s="3" t="str"/>
      <x:c r="B59" s="3" t="str">
        <x:f>IF(A59="","",COUNTIFS('Evaluation Log'!$A$2:$A$501,$A59,'Evaluation Log'!$B$2:$B$501,$B$3))</x:f>
      </x:c>
      <x:c r="C59" s="3" t="str">
        <x:f>IF(A59="","",COUNTIFS('Evaluation Log'!$A$2:$A$501,$A59,'Evaluation Log'!$B$2:$B$501,$B$4))</x:f>
      </x:c>
      <x:c r="D59" s="3" t="str">
        <x:f>IF(A59="","",IF(OR(B59&lt;&gt;1,C59&lt;&gt;1),"CHECK_IDS",IFERROR(IF(AND(_xlfn.XLOOKUP($A59&amp;"|"&amp;$B$3,'Evaluation Log'!$AJ$2:$AJ$501,'Evaluation Log'!$AL$2:$AL$501,"MISSING",0)="YES",_xlfn.XLOOKUP($A59&amp;"|"&amp;$B$3,'Evaluation Log'!$AJ$2:$AJ$501,'Evaluation Log'!$P$2:$P$501,"MISSING",0)=$B$6,_xlfn.XLOOKUP($A59&amp;"|"&amp;$B$3,'Evaluation Log'!$AJ$2:$AJ$501,'Evaluation Log'!$D$2:$D$501,"MISSING",0)=$B$5),_xlfn.XLOOKUP($A59&amp;"|"&amp;$B$3,'Evaluation Log'!$AJ$2:$AJ$501,'Evaluation Log'!$L$2:$L$501,"MISSING",0),"NOT_REVIEWED"),"MISSING")))</x:f>
      </x:c>
      <x:c r="E59" s="3" t="str">
        <x:f>IF(A59="","",IF(OR(B59&lt;&gt;1,C59&lt;&gt;1),"CHECK_IDS",IFERROR(IF(AND(_xlfn.XLOOKUP($A59&amp;"|"&amp;$B$4,'Evaluation Log'!$AJ$2:$AJ$501,'Evaluation Log'!$AL$2:$AL$501,"MISSING",0)="YES",_xlfn.XLOOKUP($A59&amp;"|"&amp;$B$4,'Evaluation Log'!$AJ$2:$AJ$501,'Evaluation Log'!$P$2:$P$501,"MISSING",0)=$B$6,_xlfn.XLOOKUP($A59&amp;"|"&amp;$B$4,'Evaluation Log'!$AJ$2:$AJ$501,'Evaluation Log'!$D$2:$D$501,"MISSING",0)=$B$5),_xlfn.XLOOKUP($A59&amp;"|"&amp;$B$4,'Evaluation Log'!$AJ$2:$AJ$501,'Evaluation Log'!$L$2:$L$501,"MISSING",0),"NOT_REVIEWED"),"MISSING")))</x:f>
      </x:c>
      <x:c r="F59" s="3" t="str">
        <x:f>IF(A59="","",IF(OR(B59&lt;&gt;1,C59&lt;&gt;1),"MISSING",IFERROR(IF(_xlfn.XLOOKUP($A59&amp;"|"&amp;$B$3,'Evaluation Log'!$AJ$2:$AJ$501,'Evaluation Log'!$AN$2:$AN$501,"MISSING",0)=_xlfn.XLOOKUP($A59&amp;"|"&amp;$B$4,'Evaluation Log'!$AJ$2:$AJ$501,'Evaluation Log'!$AN$2:$AN$501,"MISSING",0),"YES","NO"),"MISSING")))</x:f>
      </x:c>
      <x:c r="G59" s="3" t="str">
        <x:f>IF(A59="","",IF(OR(B59&lt;&gt;1,C59&lt;&gt;1),"MISSING",IFERROR(IF(_xlfn.XLOOKUP($A59&amp;"|"&amp;$B$3,'Evaluation Log'!$AJ$2:$AJ$501,'Evaluation Log'!$K$2:$K$501,"MISSING",0)=_xlfn.XLOOKUP($A59&amp;"|"&amp;$B$4,'Evaluation Log'!$AJ$2:$AJ$501,'Evaluation Log'!$K$2:$K$501,"MISSING",0),"NO","YES"),"MISSING")))</x:f>
      </x:c>
      <x:c r="H59" s="3" t="str">
        <x:f>IF(A59="","",IF(OR(B59&lt;&gt;1,C59&lt;&gt;1),"CHECK_IDS",IF(F59&lt;&gt;"YES","CHANGED_BRIEF",IF(OR(AND(D59&lt;&gt;"PASS",D59&lt;&gt;"FAIL"),AND(E59&lt;&gt;"PASS",E59&lt;&gt;"FAIL")),"NOT_REVIEWED",IF(G59&lt;&gt;"YES","UNCHANGED_POST",D59&amp;"_TO_"&amp;E59)))))</x:f>
      </x:c>
      <x:c r="I59" s="3" t="str"/>
    </x:row>
    <x:row r="60" ht="33" customHeight="1">
      <x:c r="A60" s="3" t="str"/>
      <x:c r="B60" s="3" t="str">
        <x:f>IF(A60="","",COUNTIFS('Evaluation Log'!$A$2:$A$501,$A60,'Evaluation Log'!$B$2:$B$501,$B$3))</x:f>
      </x:c>
      <x:c r="C60" s="3" t="str">
        <x:f>IF(A60="","",COUNTIFS('Evaluation Log'!$A$2:$A$501,$A60,'Evaluation Log'!$B$2:$B$501,$B$4))</x:f>
      </x:c>
      <x:c r="D60" s="3" t="str">
        <x:f>IF(A60="","",IF(OR(B60&lt;&gt;1,C60&lt;&gt;1),"CHECK_IDS",IFERROR(IF(AND(_xlfn.XLOOKUP($A60&amp;"|"&amp;$B$3,'Evaluation Log'!$AJ$2:$AJ$501,'Evaluation Log'!$AL$2:$AL$501,"MISSING",0)="YES",_xlfn.XLOOKUP($A60&amp;"|"&amp;$B$3,'Evaluation Log'!$AJ$2:$AJ$501,'Evaluation Log'!$P$2:$P$501,"MISSING",0)=$B$6,_xlfn.XLOOKUP($A60&amp;"|"&amp;$B$3,'Evaluation Log'!$AJ$2:$AJ$501,'Evaluation Log'!$D$2:$D$501,"MISSING",0)=$B$5),_xlfn.XLOOKUP($A60&amp;"|"&amp;$B$3,'Evaluation Log'!$AJ$2:$AJ$501,'Evaluation Log'!$L$2:$L$501,"MISSING",0),"NOT_REVIEWED"),"MISSING")))</x:f>
      </x:c>
      <x:c r="E60" s="3" t="str">
        <x:f>IF(A60="","",IF(OR(B60&lt;&gt;1,C60&lt;&gt;1),"CHECK_IDS",IFERROR(IF(AND(_xlfn.XLOOKUP($A60&amp;"|"&amp;$B$4,'Evaluation Log'!$AJ$2:$AJ$501,'Evaluation Log'!$AL$2:$AL$501,"MISSING",0)="YES",_xlfn.XLOOKUP($A60&amp;"|"&amp;$B$4,'Evaluation Log'!$AJ$2:$AJ$501,'Evaluation Log'!$P$2:$P$501,"MISSING",0)=$B$6,_xlfn.XLOOKUP($A60&amp;"|"&amp;$B$4,'Evaluation Log'!$AJ$2:$AJ$501,'Evaluation Log'!$D$2:$D$501,"MISSING",0)=$B$5),_xlfn.XLOOKUP($A60&amp;"|"&amp;$B$4,'Evaluation Log'!$AJ$2:$AJ$501,'Evaluation Log'!$L$2:$L$501,"MISSING",0),"NOT_REVIEWED"),"MISSING")))</x:f>
      </x:c>
      <x:c r="F60" s="3" t="str">
        <x:f>IF(A60="","",IF(OR(B60&lt;&gt;1,C60&lt;&gt;1),"MISSING",IFERROR(IF(_xlfn.XLOOKUP($A60&amp;"|"&amp;$B$3,'Evaluation Log'!$AJ$2:$AJ$501,'Evaluation Log'!$AN$2:$AN$501,"MISSING",0)=_xlfn.XLOOKUP($A60&amp;"|"&amp;$B$4,'Evaluation Log'!$AJ$2:$AJ$501,'Evaluation Log'!$AN$2:$AN$501,"MISSING",0),"YES","NO"),"MISSING")))</x:f>
      </x:c>
      <x:c r="G60" s="3" t="str">
        <x:f>IF(A60="","",IF(OR(B60&lt;&gt;1,C60&lt;&gt;1),"MISSING",IFERROR(IF(_xlfn.XLOOKUP($A60&amp;"|"&amp;$B$3,'Evaluation Log'!$AJ$2:$AJ$501,'Evaluation Log'!$K$2:$K$501,"MISSING",0)=_xlfn.XLOOKUP($A60&amp;"|"&amp;$B$4,'Evaluation Log'!$AJ$2:$AJ$501,'Evaluation Log'!$K$2:$K$501,"MISSING",0),"NO","YES"),"MISSING")))</x:f>
      </x:c>
      <x:c r="H60" s="3" t="str">
        <x:f>IF(A60="","",IF(OR(B60&lt;&gt;1,C60&lt;&gt;1),"CHECK_IDS",IF(F60&lt;&gt;"YES","CHANGED_BRIEF",IF(OR(AND(D60&lt;&gt;"PASS",D60&lt;&gt;"FAIL"),AND(E60&lt;&gt;"PASS",E60&lt;&gt;"FAIL")),"NOT_REVIEWED",IF(G60&lt;&gt;"YES","UNCHANGED_POST",D60&amp;"_TO_"&amp;E60)))))</x:f>
      </x:c>
      <x:c r="I60" s="3" t="str"/>
    </x:row>
    <x:row r="61" ht="33" customHeight="1">
      <x:c r="A61" s="3" t="str"/>
      <x:c r="B61" s="3" t="str">
        <x:f>IF(A61="","",COUNTIFS('Evaluation Log'!$A$2:$A$501,$A61,'Evaluation Log'!$B$2:$B$501,$B$3))</x:f>
      </x:c>
      <x:c r="C61" s="3" t="str">
        <x:f>IF(A61="","",COUNTIFS('Evaluation Log'!$A$2:$A$501,$A61,'Evaluation Log'!$B$2:$B$501,$B$4))</x:f>
      </x:c>
      <x:c r="D61" s="3" t="str">
        <x:f>IF(A61="","",IF(OR(B61&lt;&gt;1,C61&lt;&gt;1),"CHECK_IDS",IFERROR(IF(AND(_xlfn.XLOOKUP($A61&amp;"|"&amp;$B$3,'Evaluation Log'!$AJ$2:$AJ$501,'Evaluation Log'!$AL$2:$AL$501,"MISSING",0)="YES",_xlfn.XLOOKUP($A61&amp;"|"&amp;$B$3,'Evaluation Log'!$AJ$2:$AJ$501,'Evaluation Log'!$P$2:$P$501,"MISSING",0)=$B$6,_xlfn.XLOOKUP($A61&amp;"|"&amp;$B$3,'Evaluation Log'!$AJ$2:$AJ$501,'Evaluation Log'!$D$2:$D$501,"MISSING",0)=$B$5),_xlfn.XLOOKUP($A61&amp;"|"&amp;$B$3,'Evaluation Log'!$AJ$2:$AJ$501,'Evaluation Log'!$L$2:$L$501,"MISSING",0),"NOT_REVIEWED"),"MISSING")))</x:f>
      </x:c>
      <x:c r="E61" s="3" t="str">
        <x:f>IF(A61="","",IF(OR(B61&lt;&gt;1,C61&lt;&gt;1),"CHECK_IDS",IFERROR(IF(AND(_xlfn.XLOOKUP($A61&amp;"|"&amp;$B$4,'Evaluation Log'!$AJ$2:$AJ$501,'Evaluation Log'!$AL$2:$AL$501,"MISSING",0)="YES",_xlfn.XLOOKUP($A61&amp;"|"&amp;$B$4,'Evaluation Log'!$AJ$2:$AJ$501,'Evaluation Log'!$P$2:$P$501,"MISSING",0)=$B$6,_xlfn.XLOOKUP($A61&amp;"|"&amp;$B$4,'Evaluation Log'!$AJ$2:$AJ$501,'Evaluation Log'!$D$2:$D$501,"MISSING",0)=$B$5),_xlfn.XLOOKUP($A61&amp;"|"&amp;$B$4,'Evaluation Log'!$AJ$2:$AJ$501,'Evaluation Log'!$L$2:$L$501,"MISSING",0),"NOT_REVIEWED"),"MISSING")))</x:f>
      </x:c>
      <x:c r="F61" s="3" t="str">
        <x:f>IF(A61="","",IF(OR(B61&lt;&gt;1,C61&lt;&gt;1),"MISSING",IFERROR(IF(_xlfn.XLOOKUP($A61&amp;"|"&amp;$B$3,'Evaluation Log'!$AJ$2:$AJ$501,'Evaluation Log'!$AN$2:$AN$501,"MISSING",0)=_xlfn.XLOOKUP($A61&amp;"|"&amp;$B$4,'Evaluation Log'!$AJ$2:$AJ$501,'Evaluation Log'!$AN$2:$AN$501,"MISSING",0),"YES","NO"),"MISSING")))</x:f>
      </x:c>
      <x:c r="G61" s="3" t="str">
        <x:f>IF(A61="","",IF(OR(B61&lt;&gt;1,C61&lt;&gt;1),"MISSING",IFERROR(IF(_xlfn.XLOOKUP($A61&amp;"|"&amp;$B$3,'Evaluation Log'!$AJ$2:$AJ$501,'Evaluation Log'!$K$2:$K$501,"MISSING",0)=_xlfn.XLOOKUP($A61&amp;"|"&amp;$B$4,'Evaluation Log'!$AJ$2:$AJ$501,'Evaluation Log'!$K$2:$K$501,"MISSING",0),"NO","YES"),"MISSING")))</x:f>
      </x:c>
      <x:c r="H61" s="3" t="str">
        <x:f>IF(A61="","",IF(OR(B61&lt;&gt;1,C61&lt;&gt;1),"CHECK_IDS",IF(F61&lt;&gt;"YES","CHANGED_BRIEF",IF(OR(AND(D61&lt;&gt;"PASS",D61&lt;&gt;"FAIL"),AND(E61&lt;&gt;"PASS",E61&lt;&gt;"FAIL")),"NOT_REVIEWED",IF(G61&lt;&gt;"YES","UNCHANGED_POST",D61&amp;"_TO_"&amp;E61)))))</x:f>
      </x:c>
      <x:c r="I61" s="3" t="str"/>
    </x:row>
    <x:row r="62" ht="33" customHeight="1">
      <x:c r="A62" s="3" t="str"/>
      <x:c r="B62" s="3" t="str">
        <x:f>IF(A62="","",COUNTIFS('Evaluation Log'!$A$2:$A$501,$A62,'Evaluation Log'!$B$2:$B$501,$B$3))</x:f>
      </x:c>
      <x:c r="C62" s="3" t="str">
        <x:f>IF(A62="","",COUNTIFS('Evaluation Log'!$A$2:$A$501,$A62,'Evaluation Log'!$B$2:$B$501,$B$4))</x:f>
      </x:c>
      <x:c r="D62" s="3" t="str">
        <x:f>IF(A62="","",IF(OR(B62&lt;&gt;1,C62&lt;&gt;1),"CHECK_IDS",IFERROR(IF(AND(_xlfn.XLOOKUP($A62&amp;"|"&amp;$B$3,'Evaluation Log'!$AJ$2:$AJ$501,'Evaluation Log'!$AL$2:$AL$501,"MISSING",0)="YES",_xlfn.XLOOKUP($A62&amp;"|"&amp;$B$3,'Evaluation Log'!$AJ$2:$AJ$501,'Evaluation Log'!$P$2:$P$501,"MISSING",0)=$B$6,_xlfn.XLOOKUP($A62&amp;"|"&amp;$B$3,'Evaluation Log'!$AJ$2:$AJ$501,'Evaluation Log'!$D$2:$D$501,"MISSING",0)=$B$5),_xlfn.XLOOKUP($A62&amp;"|"&amp;$B$3,'Evaluation Log'!$AJ$2:$AJ$501,'Evaluation Log'!$L$2:$L$501,"MISSING",0),"NOT_REVIEWED"),"MISSING")))</x:f>
      </x:c>
      <x:c r="E62" s="3" t="str">
        <x:f>IF(A62="","",IF(OR(B62&lt;&gt;1,C62&lt;&gt;1),"CHECK_IDS",IFERROR(IF(AND(_xlfn.XLOOKUP($A62&amp;"|"&amp;$B$4,'Evaluation Log'!$AJ$2:$AJ$501,'Evaluation Log'!$AL$2:$AL$501,"MISSING",0)="YES",_xlfn.XLOOKUP($A62&amp;"|"&amp;$B$4,'Evaluation Log'!$AJ$2:$AJ$501,'Evaluation Log'!$P$2:$P$501,"MISSING",0)=$B$6,_xlfn.XLOOKUP($A62&amp;"|"&amp;$B$4,'Evaluation Log'!$AJ$2:$AJ$501,'Evaluation Log'!$D$2:$D$501,"MISSING",0)=$B$5),_xlfn.XLOOKUP($A62&amp;"|"&amp;$B$4,'Evaluation Log'!$AJ$2:$AJ$501,'Evaluation Log'!$L$2:$L$501,"MISSING",0),"NOT_REVIEWED"),"MISSING")))</x:f>
      </x:c>
      <x:c r="F62" s="3" t="str">
        <x:f>IF(A62="","",IF(OR(B62&lt;&gt;1,C62&lt;&gt;1),"MISSING",IFERROR(IF(_xlfn.XLOOKUP($A62&amp;"|"&amp;$B$3,'Evaluation Log'!$AJ$2:$AJ$501,'Evaluation Log'!$AN$2:$AN$501,"MISSING",0)=_xlfn.XLOOKUP($A62&amp;"|"&amp;$B$4,'Evaluation Log'!$AJ$2:$AJ$501,'Evaluation Log'!$AN$2:$AN$501,"MISSING",0),"YES","NO"),"MISSING")))</x:f>
      </x:c>
      <x:c r="G62" s="3" t="str">
        <x:f>IF(A62="","",IF(OR(B62&lt;&gt;1,C62&lt;&gt;1),"MISSING",IFERROR(IF(_xlfn.XLOOKUP($A62&amp;"|"&amp;$B$3,'Evaluation Log'!$AJ$2:$AJ$501,'Evaluation Log'!$K$2:$K$501,"MISSING",0)=_xlfn.XLOOKUP($A62&amp;"|"&amp;$B$4,'Evaluation Log'!$AJ$2:$AJ$501,'Evaluation Log'!$K$2:$K$501,"MISSING",0),"NO","YES"),"MISSING")))</x:f>
      </x:c>
      <x:c r="H62" s="3" t="str">
        <x:f>IF(A62="","",IF(OR(B62&lt;&gt;1,C62&lt;&gt;1),"CHECK_IDS",IF(F62&lt;&gt;"YES","CHANGED_BRIEF",IF(OR(AND(D62&lt;&gt;"PASS",D62&lt;&gt;"FAIL"),AND(E62&lt;&gt;"PASS",E62&lt;&gt;"FAIL")),"NOT_REVIEWED",IF(G62&lt;&gt;"YES","UNCHANGED_POST",D62&amp;"_TO_"&amp;E62)))))</x:f>
      </x:c>
      <x:c r="I62" s="3" t="str"/>
    </x:row>
    <x:row r="63" ht="33" customHeight="1">
      <x:c r="A63" s="3" t="str"/>
      <x:c r="B63" s="3" t="str">
        <x:f>IF(A63="","",COUNTIFS('Evaluation Log'!$A$2:$A$501,$A63,'Evaluation Log'!$B$2:$B$501,$B$3))</x:f>
      </x:c>
      <x:c r="C63" s="3" t="str">
        <x:f>IF(A63="","",COUNTIFS('Evaluation Log'!$A$2:$A$501,$A63,'Evaluation Log'!$B$2:$B$501,$B$4))</x:f>
      </x:c>
      <x:c r="D63" s="3" t="str">
        <x:f>IF(A63="","",IF(OR(B63&lt;&gt;1,C63&lt;&gt;1),"CHECK_IDS",IFERROR(IF(AND(_xlfn.XLOOKUP($A63&amp;"|"&amp;$B$3,'Evaluation Log'!$AJ$2:$AJ$501,'Evaluation Log'!$AL$2:$AL$501,"MISSING",0)="YES",_xlfn.XLOOKUP($A63&amp;"|"&amp;$B$3,'Evaluation Log'!$AJ$2:$AJ$501,'Evaluation Log'!$P$2:$P$501,"MISSING",0)=$B$6,_xlfn.XLOOKUP($A63&amp;"|"&amp;$B$3,'Evaluation Log'!$AJ$2:$AJ$501,'Evaluation Log'!$D$2:$D$501,"MISSING",0)=$B$5),_xlfn.XLOOKUP($A63&amp;"|"&amp;$B$3,'Evaluation Log'!$AJ$2:$AJ$501,'Evaluation Log'!$L$2:$L$501,"MISSING",0),"NOT_REVIEWED"),"MISSING")))</x:f>
      </x:c>
      <x:c r="E63" s="3" t="str">
        <x:f>IF(A63="","",IF(OR(B63&lt;&gt;1,C63&lt;&gt;1),"CHECK_IDS",IFERROR(IF(AND(_xlfn.XLOOKUP($A63&amp;"|"&amp;$B$4,'Evaluation Log'!$AJ$2:$AJ$501,'Evaluation Log'!$AL$2:$AL$501,"MISSING",0)="YES",_xlfn.XLOOKUP($A63&amp;"|"&amp;$B$4,'Evaluation Log'!$AJ$2:$AJ$501,'Evaluation Log'!$P$2:$P$501,"MISSING",0)=$B$6,_xlfn.XLOOKUP($A63&amp;"|"&amp;$B$4,'Evaluation Log'!$AJ$2:$AJ$501,'Evaluation Log'!$D$2:$D$501,"MISSING",0)=$B$5),_xlfn.XLOOKUP($A63&amp;"|"&amp;$B$4,'Evaluation Log'!$AJ$2:$AJ$501,'Evaluation Log'!$L$2:$L$501,"MISSING",0),"NOT_REVIEWED"),"MISSING")))</x:f>
      </x:c>
      <x:c r="F63" s="3" t="str">
        <x:f>IF(A63="","",IF(OR(B63&lt;&gt;1,C63&lt;&gt;1),"MISSING",IFERROR(IF(_xlfn.XLOOKUP($A63&amp;"|"&amp;$B$3,'Evaluation Log'!$AJ$2:$AJ$501,'Evaluation Log'!$AN$2:$AN$501,"MISSING",0)=_xlfn.XLOOKUP($A63&amp;"|"&amp;$B$4,'Evaluation Log'!$AJ$2:$AJ$501,'Evaluation Log'!$AN$2:$AN$501,"MISSING",0),"YES","NO"),"MISSING")))</x:f>
      </x:c>
      <x:c r="G63" s="3" t="str">
        <x:f>IF(A63="","",IF(OR(B63&lt;&gt;1,C63&lt;&gt;1),"MISSING",IFERROR(IF(_xlfn.XLOOKUP($A63&amp;"|"&amp;$B$3,'Evaluation Log'!$AJ$2:$AJ$501,'Evaluation Log'!$K$2:$K$501,"MISSING",0)=_xlfn.XLOOKUP($A63&amp;"|"&amp;$B$4,'Evaluation Log'!$AJ$2:$AJ$501,'Evaluation Log'!$K$2:$K$501,"MISSING",0),"NO","YES"),"MISSING")))</x:f>
      </x:c>
      <x:c r="H63" s="3" t="str">
        <x:f>IF(A63="","",IF(OR(B63&lt;&gt;1,C63&lt;&gt;1),"CHECK_IDS",IF(F63&lt;&gt;"YES","CHANGED_BRIEF",IF(OR(AND(D63&lt;&gt;"PASS",D63&lt;&gt;"FAIL"),AND(E63&lt;&gt;"PASS",E63&lt;&gt;"FAIL")),"NOT_REVIEWED",IF(G63&lt;&gt;"YES","UNCHANGED_POST",D63&amp;"_TO_"&amp;E63)))))</x:f>
      </x:c>
      <x:c r="I63" s="3" t="str"/>
    </x:row>
    <x:row r="64" ht="33" customHeight="1">
      <x:c r="A64" s="3" t="str"/>
      <x:c r="B64" s="3" t="str">
        <x:f>IF(A64="","",COUNTIFS('Evaluation Log'!$A$2:$A$501,$A64,'Evaluation Log'!$B$2:$B$501,$B$3))</x:f>
      </x:c>
      <x:c r="C64" s="3" t="str">
        <x:f>IF(A64="","",COUNTIFS('Evaluation Log'!$A$2:$A$501,$A64,'Evaluation Log'!$B$2:$B$501,$B$4))</x:f>
      </x:c>
      <x:c r="D64" s="3" t="str">
        <x:f>IF(A64="","",IF(OR(B64&lt;&gt;1,C64&lt;&gt;1),"CHECK_IDS",IFERROR(IF(AND(_xlfn.XLOOKUP($A64&amp;"|"&amp;$B$3,'Evaluation Log'!$AJ$2:$AJ$501,'Evaluation Log'!$AL$2:$AL$501,"MISSING",0)="YES",_xlfn.XLOOKUP($A64&amp;"|"&amp;$B$3,'Evaluation Log'!$AJ$2:$AJ$501,'Evaluation Log'!$P$2:$P$501,"MISSING",0)=$B$6,_xlfn.XLOOKUP($A64&amp;"|"&amp;$B$3,'Evaluation Log'!$AJ$2:$AJ$501,'Evaluation Log'!$D$2:$D$501,"MISSING",0)=$B$5),_xlfn.XLOOKUP($A64&amp;"|"&amp;$B$3,'Evaluation Log'!$AJ$2:$AJ$501,'Evaluation Log'!$L$2:$L$501,"MISSING",0),"NOT_REVIEWED"),"MISSING")))</x:f>
      </x:c>
      <x:c r="E64" s="3" t="str">
        <x:f>IF(A64="","",IF(OR(B64&lt;&gt;1,C64&lt;&gt;1),"CHECK_IDS",IFERROR(IF(AND(_xlfn.XLOOKUP($A64&amp;"|"&amp;$B$4,'Evaluation Log'!$AJ$2:$AJ$501,'Evaluation Log'!$AL$2:$AL$501,"MISSING",0)="YES",_xlfn.XLOOKUP($A64&amp;"|"&amp;$B$4,'Evaluation Log'!$AJ$2:$AJ$501,'Evaluation Log'!$P$2:$P$501,"MISSING",0)=$B$6,_xlfn.XLOOKUP($A64&amp;"|"&amp;$B$4,'Evaluation Log'!$AJ$2:$AJ$501,'Evaluation Log'!$D$2:$D$501,"MISSING",0)=$B$5),_xlfn.XLOOKUP($A64&amp;"|"&amp;$B$4,'Evaluation Log'!$AJ$2:$AJ$501,'Evaluation Log'!$L$2:$L$501,"MISSING",0),"NOT_REVIEWED"),"MISSING")))</x:f>
      </x:c>
      <x:c r="F64" s="3" t="str">
        <x:f>IF(A64="","",IF(OR(B64&lt;&gt;1,C64&lt;&gt;1),"MISSING",IFERROR(IF(_xlfn.XLOOKUP($A64&amp;"|"&amp;$B$3,'Evaluation Log'!$AJ$2:$AJ$501,'Evaluation Log'!$AN$2:$AN$501,"MISSING",0)=_xlfn.XLOOKUP($A64&amp;"|"&amp;$B$4,'Evaluation Log'!$AJ$2:$AJ$501,'Evaluation Log'!$AN$2:$AN$501,"MISSING",0),"YES","NO"),"MISSING")))</x:f>
      </x:c>
      <x:c r="G64" s="3" t="str">
        <x:f>IF(A64="","",IF(OR(B64&lt;&gt;1,C64&lt;&gt;1),"MISSING",IFERROR(IF(_xlfn.XLOOKUP($A64&amp;"|"&amp;$B$3,'Evaluation Log'!$AJ$2:$AJ$501,'Evaluation Log'!$K$2:$K$501,"MISSING",0)=_xlfn.XLOOKUP($A64&amp;"|"&amp;$B$4,'Evaluation Log'!$AJ$2:$AJ$501,'Evaluation Log'!$K$2:$K$501,"MISSING",0),"NO","YES"),"MISSING")))</x:f>
      </x:c>
      <x:c r="H64" s="3" t="str">
        <x:f>IF(A64="","",IF(OR(B64&lt;&gt;1,C64&lt;&gt;1),"CHECK_IDS",IF(F64&lt;&gt;"YES","CHANGED_BRIEF",IF(OR(AND(D64&lt;&gt;"PASS",D64&lt;&gt;"FAIL"),AND(E64&lt;&gt;"PASS",E64&lt;&gt;"FAIL")),"NOT_REVIEWED",IF(G64&lt;&gt;"YES","UNCHANGED_POST",D64&amp;"_TO_"&amp;E64)))))</x:f>
      </x:c>
      <x:c r="I64" s="3" t="str"/>
    </x:row>
    <x:row r="65" ht="33" customHeight="1">
      <x:c r="A65" s="3" t="str"/>
      <x:c r="B65" s="3" t="str">
        <x:f>IF(A65="","",COUNTIFS('Evaluation Log'!$A$2:$A$501,$A65,'Evaluation Log'!$B$2:$B$501,$B$3))</x:f>
      </x:c>
      <x:c r="C65" s="3" t="str">
        <x:f>IF(A65="","",COUNTIFS('Evaluation Log'!$A$2:$A$501,$A65,'Evaluation Log'!$B$2:$B$501,$B$4))</x:f>
      </x:c>
      <x:c r="D65" s="3" t="str">
        <x:f>IF(A65="","",IF(OR(B65&lt;&gt;1,C65&lt;&gt;1),"CHECK_IDS",IFERROR(IF(AND(_xlfn.XLOOKUP($A65&amp;"|"&amp;$B$3,'Evaluation Log'!$AJ$2:$AJ$501,'Evaluation Log'!$AL$2:$AL$501,"MISSING",0)="YES",_xlfn.XLOOKUP($A65&amp;"|"&amp;$B$3,'Evaluation Log'!$AJ$2:$AJ$501,'Evaluation Log'!$P$2:$P$501,"MISSING",0)=$B$6,_xlfn.XLOOKUP($A65&amp;"|"&amp;$B$3,'Evaluation Log'!$AJ$2:$AJ$501,'Evaluation Log'!$D$2:$D$501,"MISSING",0)=$B$5),_xlfn.XLOOKUP($A65&amp;"|"&amp;$B$3,'Evaluation Log'!$AJ$2:$AJ$501,'Evaluation Log'!$L$2:$L$501,"MISSING",0),"NOT_REVIEWED"),"MISSING")))</x:f>
      </x:c>
      <x:c r="E65" s="3" t="str">
        <x:f>IF(A65="","",IF(OR(B65&lt;&gt;1,C65&lt;&gt;1),"CHECK_IDS",IFERROR(IF(AND(_xlfn.XLOOKUP($A65&amp;"|"&amp;$B$4,'Evaluation Log'!$AJ$2:$AJ$501,'Evaluation Log'!$AL$2:$AL$501,"MISSING",0)="YES",_xlfn.XLOOKUP($A65&amp;"|"&amp;$B$4,'Evaluation Log'!$AJ$2:$AJ$501,'Evaluation Log'!$P$2:$P$501,"MISSING",0)=$B$6,_xlfn.XLOOKUP($A65&amp;"|"&amp;$B$4,'Evaluation Log'!$AJ$2:$AJ$501,'Evaluation Log'!$D$2:$D$501,"MISSING",0)=$B$5),_xlfn.XLOOKUP($A65&amp;"|"&amp;$B$4,'Evaluation Log'!$AJ$2:$AJ$501,'Evaluation Log'!$L$2:$L$501,"MISSING",0),"NOT_REVIEWED"),"MISSING")))</x:f>
      </x:c>
      <x:c r="F65" s="3" t="str">
        <x:f>IF(A65="","",IF(OR(B65&lt;&gt;1,C65&lt;&gt;1),"MISSING",IFERROR(IF(_xlfn.XLOOKUP($A65&amp;"|"&amp;$B$3,'Evaluation Log'!$AJ$2:$AJ$501,'Evaluation Log'!$AN$2:$AN$501,"MISSING",0)=_xlfn.XLOOKUP($A65&amp;"|"&amp;$B$4,'Evaluation Log'!$AJ$2:$AJ$501,'Evaluation Log'!$AN$2:$AN$501,"MISSING",0),"YES","NO"),"MISSING")))</x:f>
      </x:c>
      <x:c r="G65" s="3" t="str">
        <x:f>IF(A65="","",IF(OR(B65&lt;&gt;1,C65&lt;&gt;1),"MISSING",IFERROR(IF(_xlfn.XLOOKUP($A65&amp;"|"&amp;$B$3,'Evaluation Log'!$AJ$2:$AJ$501,'Evaluation Log'!$K$2:$K$501,"MISSING",0)=_xlfn.XLOOKUP($A65&amp;"|"&amp;$B$4,'Evaluation Log'!$AJ$2:$AJ$501,'Evaluation Log'!$K$2:$K$501,"MISSING",0),"NO","YES"),"MISSING")))</x:f>
      </x:c>
      <x:c r="H65" s="3" t="str">
        <x:f>IF(A65="","",IF(OR(B65&lt;&gt;1,C65&lt;&gt;1),"CHECK_IDS",IF(F65&lt;&gt;"YES","CHANGED_BRIEF",IF(OR(AND(D65&lt;&gt;"PASS",D65&lt;&gt;"FAIL"),AND(E65&lt;&gt;"PASS",E65&lt;&gt;"FAIL")),"NOT_REVIEWED",IF(G65&lt;&gt;"YES","UNCHANGED_POST",D65&amp;"_TO_"&amp;E65)))))</x:f>
      </x:c>
      <x:c r="I65" s="3" t="str"/>
    </x:row>
    <x:row r="66" ht="33" customHeight="1">
      <x:c r="A66" s="3" t="str"/>
      <x:c r="B66" s="3" t="str">
        <x:f>IF(A66="","",COUNTIFS('Evaluation Log'!$A$2:$A$501,$A66,'Evaluation Log'!$B$2:$B$501,$B$3))</x:f>
      </x:c>
      <x:c r="C66" s="3" t="str">
        <x:f>IF(A66="","",COUNTIFS('Evaluation Log'!$A$2:$A$501,$A66,'Evaluation Log'!$B$2:$B$501,$B$4))</x:f>
      </x:c>
      <x:c r="D66" s="3" t="str">
        <x:f>IF(A66="","",IF(OR(B66&lt;&gt;1,C66&lt;&gt;1),"CHECK_IDS",IFERROR(IF(AND(_xlfn.XLOOKUP($A66&amp;"|"&amp;$B$3,'Evaluation Log'!$AJ$2:$AJ$501,'Evaluation Log'!$AL$2:$AL$501,"MISSING",0)="YES",_xlfn.XLOOKUP($A66&amp;"|"&amp;$B$3,'Evaluation Log'!$AJ$2:$AJ$501,'Evaluation Log'!$P$2:$P$501,"MISSING",0)=$B$6,_xlfn.XLOOKUP($A66&amp;"|"&amp;$B$3,'Evaluation Log'!$AJ$2:$AJ$501,'Evaluation Log'!$D$2:$D$501,"MISSING",0)=$B$5),_xlfn.XLOOKUP($A66&amp;"|"&amp;$B$3,'Evaluation Log'!$AJ$2:$AJ$501,'Evaluation Log'!$L$2:$L$501,"MISSING",0),"NOT_REVIEWED"),"MISSING")))</x:f>
      </x:c>
      <x:c r="E66" s="3" t="str">
        <x:f>IF(A66="","",IF(OR(B66&lt;&gt;1,C66&lt;&gt;1),"CHECK_IDS",IFERROR(IF(AND(_xlfn.XLOOKUP($A66&amp;"|"&amp;$B$4,'Evaluation Log'!$AJ$2:$AJ$501,'Evaluation Log'!$AL$2:$AL$501,"MISSING",0)="YES",_xlfn.XLOOKUP($A66&amp;"|"&amp;$B$4,'Evaluation Log'!$AJ$2:$AJ$501,'Evaluation Log'!$P$2:$P$501,"MISSING",0)=$B$6,_xlfn.XLOOKUP($A66&amp;"|"&amp;$B$4,'Evaluation Log'!$AJ$2:$AJ$501,'Evaluation Log'!$D$2:$D$501,"MISSING",0)=$B$5),_xlfn.XLOOKUP($A66&amp;"|"&amp;$B$4,'Evaluation Log'!$AJ$2:$AJ$501,'Evaluation Log'!$L$2:$L$501,"MISSING",0),"NOT_REVIEWED"),"MISSING")))</x:f>
      </x:c>
      <x:c r="F66" s="3" t="str">
        <x:f>IF(A66="","",IF(OR(B66&lt;&gt;1,C66&lt;&gt;1),"MISSING",IFERROR(IF(_xlfn.XLOOKUP($A66&amp;"|"&amp;$B$3,'Evaluation Log'!$AJ$2:$AJ$501,'Evaluation Log'!$AN$2:$AN$501,"MISSING",0)=_xlfn.XLOOKUP($A66&amp;"|"&amp;$B$4,'Evaluation Log'!$AJ$2:$AJ$501,'Evaluation Log'!$AN$2:$AN$501,"MISSING",0),"YES","NO"),"MISSING")))</x:f>
      </x:c>
      <x:c r="G66" s="3" t="str">
        <x:f>IF(A66="","",IF(OR(B66&lt;&gt;1,C66&lt;&gt;1),"MISSING",IFERROR(IF(_xlfn.XLOOKUP($A66&amp;"|"&amp;$B$3,'Evaluation Log'!$AJ$2:$AJ$501,'Evaluation Log'!$K$2:$K$501,"MISSING",0)=_xlfn.XLOOKUP($A66&amp;"|"&amp;$B$4,'Evaluation Log'!$AJ$2:$AJ$501,'Evaluation Log'!$K$2:$K$501,"MISSING",0),"NO","YES"),"MISSING")))</x:f>
      </x:c>
      <x:c r="H66" s="3" t="str">
        <x:f>IF(A66="","",IF(OR(B66&lt;&gt;1,C66&lt;&gt;1),"CHECK_IDS",IF(F66&lt;&gt;"YES","CHANGED_BRIEF",IF(OR(AND(D66&lt;&gt;"PASS",D66&lt;&gt;"FAIL"),AND(E66&lt;&gt;"PASS",E66&lt;&gt;"FAIL")),"NOT_REVIEWED",IF(G66&lt;&gt;"YES","UNCHANGED_POST",D66&amp;"_TO_"&amp;E66)))))</x:f>
      </x:c>
      <x:c r="I66" s="3" t="str"/>
    </x:row>
    <x:row r="67" ht="33" customHeight="1">
      <x:c r="A67" s="3" t="str"/>
      <x:c r="B67" s="3" t="str">
        <x:f>IF(A67="","",COUNTIFS('Evaluation Log'!$A$2:$A$501,$A67,'Evaluation Log'!$B$2:$B$501,$B$3))</x:f>
      </x:c>
      <x:c r="C67" s="3" t="str">
        <x:f>IF(A67="","",COUNTIFS('Evaluation Log'!$A$2:$A$501,$A67,'Evaluation Log'!$B$2:$B$501,$B$4))</x:f>
      </x:c>
      <x:c r="D67" s="3" t="str">
        <x:f>IF(A67="","",IF(OR(B67&lt;&gt;1,C67&lt;&gt;1),"CHECK_IDS",IFERROR(IF(AND(_xlfn.XLOOKUP($A67&amp;"|"&amp;$B$3,'Evaluation Log'!$AJ$2:$AJ$501,'Evaluation Log'!$AL$2:$AL$501,"MISSING",0)="YES",_xlfn.XLOOKUP($A67&amp;"|"&amp;$B$3,'Evaluation Log'!$AJ$2:$AJ$501,'Evaluation Log'!$P$2:$P$501,"MISSING",0)=$B$6,_xlfn.XLOOKUP($A67&amp;"|"&amp;$B$3,'Evaluation Log'!$AJ$2:$AJ$501,'Evaluation Log'!$D$2:$D$501,"MISSING",0)=$B$5),_xlfn.XLOOKUP($A67&amp;"|"&amp;$B$3,'Evaluation Log'!$AJ$2:$AJ$501,'Evaluation Log'!$L$2:$L$501,"MISSING",0),"NOT_REVIEWED"),"MISSING")))</x:f>
      </x:c>
      <x:c r="E67" s="3" t="str">
        <x:f>IF(A67="","",IF(OR(B67&lt;&gt;1,C67&lt;&gt;1),"CHECK_IDS",IFERROR(IF(AND(_xlfn.XLOOKUP($A67&amp;"|"&amp;$B$4,'Evaluation Log'!$AJ$2:$AJ$501,'Evaluation Log'!$AL$2:$AL$501,"MISSING",0)="YES",_xlfn.XLOOKUP($A67&amp;"|"&amp;$B$4,'Evaluation Log'!$AJ$2:$AJ$501,'Evaluation Log'!$P$2:$P$501,"MISSING",0)=$B$6,_xlfn.XLOOKUP($A67&amp;"|"&amp;$B$4,'Evaluation Log'!$AJ$2:$AJ$501,'Evaluation Log'!$D$2:$D$501,"MISSING",0)=$B$5),_xlfn.XLOOKUP($A67&amp;"|"&amp;$B$4,'Evaluation Log'!$AJ$2:$AJ$501,'Evaluation Log'!$L$2:$L$501,"MISSING",0),"NOT_REVIEWED"),"MISSING")))</x:f>
      </x:c>
      <x:c r="F67" s="3" t="str">
        <x:f>IF(A67="","",IF(OR(B67&lt;&gt;1,C67&lt;&gt;1),"MISSING",IFERROR(IF(_xlfn.XLOOKUP($A67&amp;"|"&amp;$B$3,'Evaluation Log'!$AJ$2:$AJ$501,'Evaluation Log'!$AN$2:$AN$501,"MISSING",0)=_xlfn.XLOOKUP($A67&amp;"|"&amp;$B$4,'Evaluation Log'!$AJ$2:$AJ$501,'Evaluation Log'!$AN$2:$AN$501,"MISSING",0),"YES","NO"),"MISSING")))</x:f>
      </x:c>
      <x:c r="G67" s="3" t="str">
        <x:f>IF(A67="","",IF(OR(B67&lt;&gt;1,C67&lt;&gt;1),"MISSING",IFERROR(IF(_xlfn.XLOOKUP($A67&amp;"|"&amp;$B$3,'Evaluation Log'!$AJ$2:$AJ$501,'Evaluation Log'!$K$2:$K$501,"MISSING",0)=_xlfn.XLOOKUP($A67&amp;"|"&amp;$B$4,'Evaluation Log'!$AJ$2:$AJ$501,'Evaluation Log'!$K$2:$K$501,"MISSING",0),"NO","YES"),"MISSING")))</x:f>
      </x:c>
      <x:c r="H67" s="3" t="str">
        <x:f>IF(A67="","",IF(OR(B67&lt;&gt;1,C67&lt;&gt;1),"CHECK_IDS",IF(F67&lt;&gt;"YES","CHANGED_BRIEF",IF(OR(AND(D67&lt;&gt;"PASS",D67&lt;&gt;"FAIL"),AND(E67&lt;&gt;"PASS",E67&lt;&gt;"FAIL")),"NOT_REVIEWED",IF(G67&lt;&gt;"YES","UNCHANGED_POST",D67&amp;"_TO_"&amp;E67)))))</x:f>
      </x:c>
      <x:c r="I67" s="3" t="str"/>
    </x:row>
    <x:row r="68" ht="33" customHeight="1">
      <x:c r="A68" s="3" t="str"/>
      <x:c r="B68" s="3" t="str">
        <x:f>IF(A68="","",COUNTIFS('Evaluation Log'!$A$2:$A$501,$A68,'Evaluation Log'!$B$2:$B$501,$B$3))</x:f>
      </x:c>
      <x:c r="C68" s="3" t="str">
        <x:f>IF(A68="","",COUNTIFS('Evaluation Log'!$A$2:$A$501,$A68,'Evaluation Log'!$B$2:$B$501,$B$4))</x:f>
      </x:c>
      <x:c r="D68" s="3" t="str">
        <x:f>IF(A68="","",IF(OR(B68&lt;&gt;1,C68&lt;&gt;1),"CHECK_IDS",IFERROR(IF(AND(_xlfn.XLOOKUP($A68&amp;"|"&amp;$B$3,'Evaluation Log'!$AJ$2:$AJ$501,'Evaluation Log'!$AL$2:$AL$501,"MISSING",0)="YES",_xlfn.XLOOKUP($A68&amp;"|"&amp;$B$3,'Evaluation Log'!$AJ$2:$AJ$501,'Evaluation Log'!$P$2:$P$501,"MISSING",0)=$B$6,_xlfn.XLOOKUP($A68&amp;"|"&amp;$B$3,'Evaluation Log'!$AJ$2:$AJ$501,'Evaluation Log'!$D$2:$D$501,"MISSING",0)=$B$5),_xlfn.XLOOKUP($A68&amp;"|"&amp;$B$3,'Evaluation Log'!$AJ$2:$AJ$501,'Evaluation Log'!$L$2:$L$501,"MISSING",0),"NOT_REVIEWED"),"MISSING")))</x:f>
      </x:c>
      <x:c r="E68" s="3" t="str">
        <x:f>IF(A68="","",IF(OR(B68&lt;&gt;1,C68&lt;&gt;1),"CHECK_IDS",IFERROR(IF(AND(_xlfn.XLOOKUP($A68&amp;"|"&amp;$B$4,'Evaluation Log'!$AJ$2:$AJ$501,'Evaluation Log'!$AL$2:$AL$501,"MISSING",0)="YES",_xlfn.XLOOKUP($A68&amp;"|"&amp;$B$4,'Evaluation Log'!$AJ$2:$AJ$501,'Evaluation Log'!$P$2:$P$501,"MISSING",0)=$B$6,_xlfn.XLOOKUP($A68&amp;"|"&amp;$B$4,'Evaluation Log'!$AJ$2:$AJ$501,'Evaluation Log'!$D$2:$D$501,"MISSING",0)=$B$5),_xlfn.XLOOKUP($A68&amp;"|"&amp;$B$4,'Evaluation Log'!$AJ$2:$AJ$501,'Evaluation Log'!$L$2:$L$501,"MISSING",0),"NOT_REVIEWED"),"MISSING")))</x:f>
      </x:c>
      <x:c r="F68" s="3" t="str">
        <x:f>IF(A68="","",IF(OR(B68&lt;&gt;1,C68&lt;&gt;1),"MISSING",IFERROR(IF(_xlfn.XLOOKUP($A68&amp;"|"&amp;$B$3,'Evaluation Log'!$AJ$2:$AJ$501,'Evaluation Log'!$AN$2:$AN$501,"MISSING",0)=_xlfn.XLOOKUP($A68&amp;"|"&amp;$B$4,'Evaluation Log'!$AJ$2:$AJ$501,'Evaluation Log'!$AN$2:$AN$501,"MISSING",0),"YES","NO"),"MISSING")))</x:f>
      </x:c>
      <x:c r="G68" s="3" t="str">
        <x:f>IF(A68="","",IF(OR(B68&lt;&gt;1,C68&lt;&gt;1),"MISSING",IFERROR(IF(_xlfn.XLOOKUP($A68&amp;"|"&amp;$B$3,'Evaluation Log'!$AJ$2:$AJ$501,'Evaluation Log'!$K$2:$K$501,"MISSING",0)=_xlfn.XLOOKUP($A68&amp;"|"&amp;$B$4,'Evaluation Log'!$AJ$2:$AJ$501,'Evaluation Log'!$K$2:$K$501,"MISSING",0),"NO","YES"),"MISSING")))</x:f>
      </x:c>
      <x:c r="H68" s="3" t="str">
        <x:f>IF(A68="","",IF(OR(B68&lt;&gt;1,C68&lt;&gt;1),"CHECK_IDS",IF(F68&lt;&gt;"YES","CHANGED_BRIEF",IF(OR(AND(D68&lt;&gt;"PASS",D68&lt;&gt;"FAIL"),AND(E68&lt;&gt;"PASS",E68&lt;&gt;"FAIL")),"NOT_REVIEWED",IF(G68&lt;&gt;"YES","UNCHANGED_POST",D68&amp;"_TO_"&amp;E68)))))</x:f>
      </x:c>
      <x:c r="I68" s="3" t="str"/>
    </x:row>
    <x:row r="69" ht="33" customHeight="1">
      <x:c r="A69" s="3" t="str"/>
      <x:c r="B69" s="3" t="str">
        <x:f>IF(A69="","",COUNTIFS('Evaluation Log'!$A$2:$A$501,$A69,'Evaluation Log'!$B$2:$B$501,$B$3))</x:f>
      </x:c>
      <x:c r="C69" s="3" t="str">
        <x:f>IF(A69="","",COUNTIFS('Evaluation Log'!$A$2:$A$501,$A69,'Evaluation Log'!$B$2:$B$501,$B$4))</x:f>
      </x:c>
      <x:c r="D69" s="3" t="str">
        <x:f>IF(A69="","",IF(OR(B69&lt;&gt;1,C69&lt;&gt;1),"CHECK_IDS",IFERROR(IF(AND(_xlfn.XLOOKUP($A69&amp;"|"&amp;$B$3,'Evaluation Log'!$AJ$2:$AJ$501,'Evaluation Log'!$AL$2:$AL$501,"MISSING",0)="YES",_xlfn.XLOOKUP($A69&amp;"|"&amp;$B$3,'Evaluation Log'!$AJ$2:$AJ$501,'Evaluation Log'!$P$2:$P$501,"MISSING",0)=$B$6,_xlfn.XLOOKUP($A69&amp;"|"&amp;$B$3,'Evaluation Log'!$AJ$2:$AJ$501,'Evaluation Log'!$D$2:$D$501,"MISSING",0)=$B$5),_xlfn.XLOOKUP($A69&amp;"|"&amp;$B$3,'Evaluation Log'!$AJ$2:$AJ$501,'Evaluation Log'!$L$2:$L$501,"MISSING",0),"NOT_REVIEWED"),"MISSING")))</x:f>
      </x:c>
      <x:c r="E69" s="3" t="str">
        <x:f>IF(A69="","",IF(OR(B69&lt;&gt;1,C69&lt;&gt;1),"CHECK_IDS",IFERROR(IF(AND(_xlfn.XLOOKUP($A69&amp;"|"&amp;$B$4,'Evaluation Log'!$AJ$2:$AJ$501,'Evaluation Log'!$AL$2:$AL$501,"MISSING",0)="YES",_xlfn.XLOOKUP($A69&amp;"|"&amp;$B$4,'Evaluation Log'!$AJ$2:$AJ$501,'Evaluation Log'!$P$2:$P$501,"MISSING",0)=$B$6,_xlfn.XLOOKUP($A69&amp;"|"&amp;$B$4,'Evaluation Log'!$AJ$2:$AJ$501,'Evaluation Log'!$D$2:$D$501,"MISSING",0)=$B$5),_xlfn.XLOOKUP($A69&amp;"|"&amp;$B$4,'Evaluation Log'!$AJ$2:$AJ$501,'Evaluation Log'!$L$2:$L$501,"MISSING",0),"NOT_REVIEWED"),"MISSING")))</x:f>
      </x:c>
      <x:c r="F69" s="3" t="str">
        <x:f>IF(A69="","",IF(OR(B69&lt;&gt;1,C69&lt;&gt;1),"MISSING",IFERROR(IF(_xlfn.XLOOKUP($A69&amp;"|"&amp;$B$3,'Evaluation Log'!$AJ$2:$AJ$501,'Evaluation Log'!$AN$2:$AN$501,"MISSING",0)=_xlfn.XLOOKUP($A69&amp;"|"&amp;$B$4,'Evaluation Log'!$AJ$2:$AJ$501,'Evaluation Log'!$AN$2:$AN$501,"MISSING",0),"YES","NO"),"MISSING")))</x:f>
      </x:c>
      <x:c r="G69" s="3" t="str">
        <x:f>IF(A69="","",IF(OR(B69&lt;&gt;1,C69&lt;&gt;1),"MISSING",IFERROR(IF(_xlfn.XLOOKUP($A69&amp;"|"&amp;$B$3,'Evaluation Log'!$AJ$2:$AJ$501,'Evaluation Log'!$K$2:$K$501,"MISSING",0)=_xlfn.XLOOKUP($A69&amp;"|"&amp;$B$4,'Evaluation Log'!$AJ$2:$AJ$501,'Evaluation Log'!$K$2:$K$501,"MISSING",0),"NO","YES"),"MISSING")))</x:f>
      </x:c>
      <x:c r="H69" s="3" t="str">
        <x:f>IF(A69="","",IF(OR(B69&lt;&gt;1,C69&lt;&gt;1),"CHECK_IDS",IF(F69&lt;&gt;"YES","CHANGED_BRIEF",IF(OR(AND(D69&lt;&gt;"PASS",D69&lt;&gt;"FAIL"),AND(E69&lt;&gt;"PASS",E69&lt;&gt;"FAIL")),"NOT_REVIEWED",IF(G69&lt;&gt;"YES","UNCHANGED_POST",D69&amp;"_TO_"&amp;E69)))))</x:f>
      </x:c>
      <x:c r="I69" s="3" t="str"/>
    </x:row>
    <x:row r="70" ht="33" customHeight="1">
      <x:c r="A70" s="3" t="str"/>
      <x:c r="B70" s="3" t="str">
        <x:f>IF(A70="","",COUNTIFS('Evaluation Log'!$A$2:$A$501,$A70,'Evaluation Log'!$B$2:$B$501,$B$3))</x:f>
      </x:c>
      <x:c r="C70" s="3" t="str">
        <x:f>IF(A70="","",COUNTIFS('Evaluation Log'!$A$2:$A$501,$A70,'Evaluation Log'!$B$2:$B$501,$B$4))</x:f>
      </x:c>
      <x:c r="D70" s="3" t="str">
        <x:f>IF(A70="","",IF(OR(B70&lt;&gt;1,C70&lt;&gt;1),"CHECK_IDS",IFERROR(IF(AND(_xlfn.XLOOKUP($A70&amp;"|"&amp;$B$3,'Evaluation Log'!$AJ$2:$AJ$501,'Evaluation Log'!$AL$2:$AL$501,"MISSING",0)="YES",_xlfn.XLOOKUP($A70&amp;"|"&amp;$B$3,'Evaluation Log'!$AJ$2:$AJ$501,'Evaluation Log'!$P$2:$P$501,"MISSING",0)=$B$6,_xlfn.XLOOKUP($A70&amp;"|"&amp;$B$3,'Evaluation Log'!$AJ$2:$AJ$501,'Evaluation Log'!$D$2:$D$501,"MISSING",0)=$B$5),_xlfn.XLOOKUP($A70&amp;"|"&amp;$B$3,'Evaluation Log'!$AJ$2:$AJ$501,'Evaluation Log'!$L$2:$L$501,"MISSING",0),"NOT_REVIEWED"),"MISSING")))</x:f>
      </x:c>
      <x:c r="E70" s="3" t="str">
        <x:f>IF(A70="","",IF(OR(B70&lt;&gt;1,C70&lt;&gt;1),"CHECK_IDS",IFERROR(IF(AND(_xlfn.XLOOKUP($A70&amp;"|"&amp;$B$4,'Evaluation Log'!$AJ$2:$AJ$501,'Evaluation Log'!$AL$2:$AL$501,"MISSING",0)="YES",_xlfn.XLOOKUP($A70&amp;"|"&amp;$B$4,'Evaluation Log'!$AJ$2:$AJ$501,'Evaluation Log'!$P$2:$P$501,"MISSING",0)=$B$6,_xlfn.XLOOKUP($A70&amp;"|"&amp;$B$4,'Evaluation Log'!$AJ$2:$AJ$501,'Evaluation Log'!$D$2:$D$501,"MISSING",0)=$B$5),_xlfn.XLOOKUP($A70&amp;"|"&amp;$B$4,'Evaluation Log'!$AJ$2:$AJ$501,'Evaluation Log'!$L$2:$L$501,"MISSING",0),"NOT_REVIEWED"),"MISSING")))</x:f>
      </x:c>
      <x:c r="F70" s="3" t="str">
        <x:f>IF(A70="","",IF(OR(B70&lt;&gt;1,C70&lt;&gt;1),"MISSING",IFERROR(IF(_xlfn.XLOOKUP($A70&amp;"|"&amp;$B$3,'Evaluation Log'!$AJ$2:$AJ$501,'Evaluation Log'!$AN$2:$AN$501,"MISSING",0)=_xlfn.XLOOKUP($A70&amp;"|"&amp;$B$4,'Evaluation Log'!$AJ$2:$AJ$501,'Evaluation Log'!$AN$2:$AN$501,"MISSING",0),"YES","NO"),"MISSING")))</x:f>
      </x:c>
      <x:c r="G70" s="3" t="str">
        <x:f>IF(A70="","",IF(OR(B70&lt;&gt;1,C70&lt;&gt;1),"MISSING",IFERROR(IF(_xlfn.XLOOKUP($A70&amp;"|"&amp;$B$3,'Evaluation Log'!$AJ$2:$AJ$501,'Evaluation Log'!$K$2:$K$501,"MISSING",0)=_xlfn.XLOOKUP($A70&amp;"|"&amp;$B$4,'Evaluation Log'!$AJ$2:$AJ$501,'Evaluation Log'!$K$2:$K$501,"MISSING",0),"NO","YES"),"MISSING")))</x:f>
      </x:c>
      <x:c r="H70" s="3" t="str">
        <x:f>IF(A70="","",IF(OR(B70&lt;&gt;1,C70&lt;&gt;1),"CHECK_IDS",IF(F70&lt;&gt;"YES","CHANGED_BRIEF",IF(OR(AND(D70&lt;&gt;"PASS",D70&lt;&gt;"FAIL"),AND(E70&lt;&gt;"PASS",E70&lt;&gt;"FAIL")),"NOT_REVIEWED",IF(G70&lt;&gt;"YES","UNCHANGED_POST",D70&amp;"_TO_"&amp;E70)))))</x:f>
      </x:c>
      <x:c r="I70" s="3" t="str"/>
    </x:row>
    <x:row r="71" ht="33" customHeight="1">
      <x:c r="A71" s="3" t="str"/>
      <x:c r="B71" s="3" t="str">
        <x:f>IF(A71="","",COUNTIFS('Evaluation Log'!$A$2:$A$501,$A71,'Evaluation Log'!$B$2:$B$501,$B$3))</x:f>
      </x:c>
      <x:c r="C71" s="3" t="str">
        <x:f>IF(A71="","",COUNTIFS('Evaluation Log'!$A$2:$A$501,$A71,'Evaluation Log'!$B$2:$B$501,$B$4))</x:f>
      </x:c>
      <x:c r="D71" s="3" t="str">
        <x:f>IF(A71="","",IF(OR(B71&lt;&gt;1,C71&lt;&gt;1),"CHECK_IDS",IFERROR(IF(AND(_xlfn.XLOOKUP($A71&amp;"|"&amp;$B$3,'Evaluation Log'!$AJ$2:$AJ$501,'Evaluation Log'!$AL$2:$AL$501,"MISSING",0)="YES",_xlfn.XLOOKUP($A71&amp;"|"&amp;$B$3,'Evaluation Log'!$AJ$2:$AJ$501,'Evaluation Log'!$P$2:$P$501,"MISSING",0)=$B$6,_xlfn.XLOOKUP($A71&amp;"|"&amp;$B$3,'Evaluation Log'!$AJ$2:$AJ$501,'Evaluation Log'!$D$2:$D$501,"MISSING",0)=$B$5),_xlfn.XLOOKUP($A71&amp;"|"&amp;$B$3,'Evaluation Log'!$AJ$2:$AJ$501,'Evaluation Log'!$L$2:$L$501,"MISSING",0),"NOT_REVIEWED"),"MISSING")))</x:f>
      </x:c>
      <x:c r="E71" s="3" t="str">
        <x:f>IF(A71="","",IF(OR(B71&lt;&gt;1,C71&lt;&gt;1),"CHECK_IDS",IFERROR(IF(AND(_xlfn.XLOOKUP($A71&amp;"|"&amp;$B$4,'Evaluation Log'!$AJ$2:$AJ$501,'Evaluation Log'!$AL$2:$AL$501,"MISSING",0)="YES",_xlfn.XLOOKUP($A71&amp;"|"&amp;$B$4,'Evaluation Log'!$AJ$2:$AJ$501,'Evaluation Log'!$P$2:$P$501,"MISSING",0)=$B$6,_xlfn.XLOOKUP($A71&amp;"|"&amp;$B$4,'Evaluation Log'!$AJ$2:$AJ$501,'Evaluation Log'!$D$2:$D$501,"MISSING",0)=$B$5),_xlfn.XLOOKUP($A71&amp;"|"&amp;$B$4,'Evaluation Log'!$AJ$2:$AJ$501,'Evaluation Log'!$L$2:$L$501,"MISSING",0),"NOT_REVIEWED"),"MISSING")))</x:f>
      </x:c>
      <x:c r="F71" s="3" t="str">
        <x:f>IF(A71="","",IF(OR(B71&lt;&gt;1,C71&lt;&gt;1),"MISSING",IFERROR(IF(_xlfn.XLOOKUP($A71&amp;"|"&amp;$B$3,'Evaluation Log'!$AJ$2:$AJ$501,'Evaluation Log'!$AN$2:$AN$501,"MISSING",0)=_xlfn.XLOOKUP($A71&amp;"|"&amp;$B$4,'Evaluation Log'!$AJ$2:$AJ$501,'Evaluation Log'!$AN$2:$AN$501,"MISSING",0),"YES","NO"),"MISSING")))</x:f>
      </x:c>
      <x:c r="G71" s="3" t="str">
        <x:f>IF(A71="","",IF(OR(B71&lt;&gt;1,C71&lt;&gt;1),"MISSING",IFERROR(IF(_xlfn.XLOOKUP($A71&amp;"|"&amp;$B$3,'Evaluation Log'!$AJ$2:$AJ$501,'Evaluation Log'!$K$2:$K$501,"MISSING",0)=_xlfn.XLOOKUP($A71&amp;"|"&amp;$B$4,'Evaluation Log'!$AJ$2:$AJ$501,'Evaluation Log'!$K$2:$K$501,"MISSING",0),"NO","YES"),"MISSING")))</x:f>
      </x:c>
      <x:c r="H71" s="3" t="str">
        <x:f>IF(A71="","",IF(OR(B71&lt;&gt;1,C71&lt;&gt;1),"CHECK_IDS",IF(F71&lt;&gt;"YES","CHANGED_BRIEF",IF(OR(AND(D71&lt;&gt;"PASS",D71&lt;&gt;"FAIL"),AND(E71&lt;&gt;"PASS",E71&lt;&gt;"FAIL")),"NOT_REVIEWED",IF(G71&lt;&gt;"YES","UNCHANGED_POST",D71&amp;"_TO_"&amp;E71)))))</x:f>
      </x:c>
      <x:c r="I71" s="3" t="str"/>
    </x:row>
    <x:row r="72" ht="33" customHeight="1">
      <x:c r="A72" s="3" t="str"/>
      <x:c r="B72" s="3" t="str">
        <x:f>IF(A72="","",COUNTIFS('Evaluation Log'!$A$2:$A$501,$A72,'Evaluation Log'!$B$2:$B$501,$B$3))</x:f>
      </x:c>
      <x:c r="C72" s="3" t="str">
        <x:f>IF(A72="","",COUNTIFS('Evaluation Log'!$A$2:$A$501,$A72,'Evaluation Log'!$B$2:$B$501,$B$4))</x:f>
      </x:c>
      <x:c r="D72" s="3" t="str">
        <x:f>IF(A72="","",IF(OR(B72&lt;&gt;1,C72&lt;&gt;1),"CHECK_IDS",IFERROR(IF(AND(_xlfn.XLOOKUP($A72&amp;"|"&amp;$B$3,'Evaluation Log'!$AJ$2:$AJ$501,'Evaluation Log'!$AL$2:$AL$501,"MISSING",0)="YES",_xlfn.XLOOKUP($A72&amp;"|"&amp;$B$3,'Evaluation Log'!$AJ$2:$AJ$501,'Evaluation Log'!$P$2:$P$501,"MISSING",0)=$B$6,_xlfn.XLOOKUP($A72&amp;"|"&amp;$B$3,'Evaluation Log'!$AJ$2:$AJ$501,'Evaluation Log'!$D$2:$D$501,"MISSING",0)=$B$5),_xlfn.XLOOKUP($A72&amp;"|"&amp;$B$3,'Evaluation Log'!$AJ$2:$AJ$501,'Evaluation Log'!$L$2:$L$501,"MISSING",0),"NOT_REVIEWED"),"MISSING")))</x:f>
      </x:c>
      <x:c r="E72" s="3" t="str">
        <x:f>IF(A72="","",IF(OR(B72&lt;&gt;1,C72&lt;&gt;1),"CHECK_IDS",IFERROR(IF(AND(_xlfn.XLOOKUP($A72&amp;"|"&amp;$B$4,'Evaluation Log'!$AJ$2:$AJ$501,'Evaluation Log'!$AL$2:$AL$501,"MISSING",0)="YES",_xlfn.XLOOKUP($A72&amp;"|"&amp;$B$4,'Evaluation Log'!$AJ$2:$AJ$501,'Evaluation Log'!$P$2:$P$501,"MISSING",0)=$B$6,_xlfn.XLOOKUP($A72&amp;"|"&amp;$B$4,'Evaluation Log'!$AJ$2:$AJ$501,'Evaluation Log'!$D$2:$D$501,"MISSING",0)=$B$5),_xlfn.XLOOKUP($A72&amp;"|"&amp;$B$4,'Evaluation Log'!$AJ$2:$AJ$501,'Evaluation Log'!$L$2:$L$501,"MISSING",0),"NOT_REVIEWED"),"MISSING")))</x:f>
      </x:c>
      <x:c r="F72" s="3" t="str">
        <x:f>IF(A72="","",IF(OR(B72&lt;&gt;1,C72&lt;&gt;1),"MISSING",IFERROR(IF(_xlfn.XLOOKUP($A72&amp;"|"&amp;$B$3,'Evaluation Log'!$AJ$2:$AJ$501,'Evaluation Log'!$AN$2:$AN$501,"MISSING",0)=_xlfn.XLOOKUP($A72&amp;"|"&amp;$B$4,'Evaluation Log'!$AJ$2:$AJ$501,'Evaluation Log'!$AN$2:$AN$501,"MISSING",0),"YES","NO"),"MISSING")))</x:f>
      </x:c>
      <x:c r="G72" s="3" t="str">
        <x:f>IF(A72="","",IF(OR(B72&lt;&gt;1,C72&lt;&gt;1),"MISSING",IFERROR(IF(_xlfn.XLOOKUP($A72&amp;"|"&amp;$B$3,'Evaluation Log'!$AJ$2:$AJ$501,'Evaluation Log'!$K$2:$K$501,"MISSING",0)=_xlfn.XLOOKUP($A72&amp;"|"&amp;$B$4,'Evaluation Log'!$AJ$2:$AJ$501,'Evaluation Log'!$K$2:$K$501,"MISSING",0),"NO","YES"),"MISSING")))</x:f>
      </x:c>
      <x:c r="H72" s="3" t="str">
        <x:f>IF(A72="","",IF(OR(B72&lt;&gt;1,C72&lt;&gt;1),"CHECK_IDS",IF(F72&lt;&gt;"YES","CHANGED_BRIEF",IF(OR(AND(D72&lt;&gt;"PASS",D72&lt;&gt;"FAIL"),AND(E72&lt;&gt;"PASS",E72&lt;&gt;"FAIL")),"NOT_REVIEWED",IF(G72&lt;&gt;"YES","UNCHANGED_POST",D72&amp;"_TO_"&amp;E72)))))</x:f>
      </x:c>
      <x:c r="I72" s="3" t="str"/>
    </x:row>
    <x:row r="73" ht="33" customHeight="1">
      <x:c r="A73" s="3" t="str"/>
      <x:c r="B73" s="3" t="str">
        <x:f>IF(A73="","",COUNTIFS('Evaluation Log'!$A$2:$A$501,$A73,'Evaluation Log'!$B$2:$B$501,$B$3))</x:f>
      </x:c>
      <x:c r="C73" s="3" t="str">
        <x:f>IF(A73="","",COUNTIFS('Evaluation Log'!$A$2:$A$501,$A73,'Evaluation Log'!$B$2:$B$501,$B$4))</x:f>
      </x:c>
      <x:c r="D73" s="3" t="str">
        <x:f>IF(A73="","",IF(OR(B73&lt;&gt;1,C73&lt;&gt;1),"CHECK_IDS",IFERROR(IF(AND(_xlfn.XLOOKUP($A73&amp;"|"&amp;$B$3,'Evaluation Log'!$AJ$2:$AJ$501,'Evaluation Log'!$AL$2:$AL$501,"MISSING",0)="YES",_xlfn.XLOOKUP($A73&amp;"|"&amp;$B$3,'Evaluation Log'!$AJ$2:$AJ$501,'Evaluation Log'!$P$2:$P$501,"MISSING",0)=$B$6,_xlfn.XLOOKUP($A73&amp;"|"&amp;$B$3,'Evaluation Log'!$AJ$2:$AJ$501,'Evaluation Log'!$D$2:$D$501,"MISSING",0)=$B$5),_xlfn.XLOOKUP($A73&amp;"|"&amp;$B$3,'Evaluation Log'!$AJ$2:$AJ$501,'Evaluation Log'!$L$2:$L$501,"MISSING",0),"NOT_REVIEWED"),"MISSING")))</x:f>
      </x:c>
      <x:c r="E73" s="3" t="str">
        <x:f>IF(A73="","",IF(OR(B73&lt;&gt;1,C73&lt;&gt;1),"CHECK_IDS",IFERROR(IF(AND(_xlfn.XLOOKUP($A73&amp;"|"&amp;$B$4,'Evaluation Log'!$AJ$2:$AJ$501,'Evaluation Log'!$AL$2:$AL$501,"MISSING",0)="YES",_xlfn.XLOOKUP($A73&amp;"|"&amp;$B$4,'Evaluation Log'!$AJ$2:$AJ$501,'Evaluation Log'!$P$2:$P$501,"MISSING",0)=$B$6,_xlfn.XLOOKUP($A73&amp;"|"&amp;$B$4,'Evaluation Log'!$AJ$2:$AJ$501,'Evaluation Log'!$D$2:$D$501,"MISSING",0)=$B$5),_xlfn.XLOOKUP($A73&amp;"|"&amp;$B$4,'Evaluation Log'!$AJ$2:$AJ$501,'Evaluation Log'!$L$2:$L$501,"MISSING",0),"NOT_REVIEWED"),"MISSING")))</x:f>
      </x:c>
      <x:c r="F73" s="3" t="str">
        <x:f>IF(A73="","",IF(OR(B73&lt;&gt;1,C73&lt;&gt;1),"MISSING",IFERROR(IF(_xlfn.XLOOKUP($A73&amp;"|"&amp;$B$3,'Evaluation Log'!$AJ$2:$AJ$501,'Evaluation Log'!$AN$2:$AN$501,"MISSING",0)=_xlfn.XLOOKUP($A73&amp;"|"&amp;$B$4,'Evaluation Log'!$AJ$2:$AJ$501,'Evaluation Log'!$AN$2:$AN$501,"MISSING",0),"YES","NO"),"MISSING")))</x:f>
      </x:c>
      <x:c r="G73" s="3" t="str">
        <x:f>IF(A73="","",IF(OR(B73&lt;&gt;1,C73&lt;&gt;1),"MISSING",IFERROR(IF(_xlfn.XLOOKUP($A73&amp;"|"&amp;$B$3,'Evaluation Log'!$AJ$2:$AJ$501,'Evaluation Log'!$K$2:$K$501,"MISSING",0)=_xlfn.XLOOKUP($A73&amp;"|"&amp;$B$4,'Evaluation Log'!$AJ$2:$AJ$501,'Evaluation Log'!$K$2:$K$501,"MISSING",0),"NO","YES"),"MISSING")))</x:f>
      </x:c>
      <x:c r="H73" s="3" t="str">
        <x:f>IF(A73="","",IF(OR(B73&lt;&gt;1,C73&lt;&gt;1),"CHECK_IDS",IF(F73&lt;&gt;"YES","CHANGED_BRIEF",IF(OR(AND(D73&lt;&gt;"PASS",D73&lt;&gt;"FAIL"),AND(E73&lt;&gt;"PASS",E73&lt;&gt;"FAIL")),"NOT_REVIEWED",IF(G73&lt;&gt;"YES","UNCHANGED_POST",D73&amp;"_TO_"&amp;E73)))))</x:f>
      </x:c>
      <x:c r="I73" s="3" t="str"/>
    </x:row>
    <x:row r="74" ht="33" customHeight="1">
      <x:c r="A74" s="3" t="str"/>
      <x:c r="B74" s="3" t="str">
        <x:f>IF(A74="","",COUNTIFS('Evaluation Log'!$A$2:$A$501,$A74,'Evaluation Log'!$B$2:$B$501,$B$3))</x:f>
      </x:c>
      <x:c r="C74" s="3" t="str">
        <x:f>IF(A74="","",COUNTIFS('Evaluation Log'!$A$2:$A$501,$A74,'Evaluation Log'!$B$2:$B$501,$B$4))</x:f>
      </x:c>
      <x:c r="D74" s="3" t="str">
        <x:f>IF(A74="","",IF(OR(B74&lt;&gt;1,C74&lt;&gt;1),"CHECK_IDS",IFERROR(IF(AND(_xlfn.XLOOKUP($A74&amp;"|"&amp;$B$3,'Evaluation Log'!$AJ$2:$AJ$501,'Evaluation Log'!$AL$2:$AL$501,"MISSING",0)="YES",_xlfn.XLOOKUP($A74&amp;"|"&amp;$B$3,'Evaluation Log'!$AJ$2:$AJ$501,'Evaluation Log'!$P$2:$P$501,"MISSING",0)=$B$6,_xlfn.XLOOKUP($A74&amp;"|"&amp;$B$3,'Evaluation Log'!$AJ$2:$AJ$501,'Evaluation Log'!$D$2:$D$501,"MISSING",0)=$B$5),_xlfn.XLOOKUP($A74&amp;"|"&amp;$B$3,'Evaluation Log'!$AJ$2:$AJ$501,'Evaluation Log'!$L$2:$L$501,"MISSING",0),"NOT_REVIEWED"),"MISSING")))</x:f>
      </x:c>
      <x:c r="E74" s="3" t="str">
        <x:f>IF(A74="","",IF(OR(B74&lt;&gt;1,C74&lt;&gt;1),"CHECK_IDS",IFERROR(IF(AND(_xlfn.XLOOKUP($A74&amp;"|"&amp;$B$4,'Evaluation Log'!$AJ$2:$AJ$501,'Evaluation Log'!$AL$2:$AL$501,"MISSING",0)="YES",_xlfn.XLOOKUP($A74&amp;"|"&amp;$B$4,'Evaluation Log'!$AJ$2:$AJ$501,'Evaluation Log'!$P$2:$P$501,"MISSING",0)=$B$6,_xlfn.XLOOKUP($A74&amp;"|"&amp;$B$4,'Evaluation Log'!$AJ$2:$AJ$501,'Evaluation Log'!$D$2:$D$501,"MISSING",0)=$B$5),_xlfn.XLOOKUP($A74&amp;"|"&amp;$B$4,'Evaluation Log'!$AJ$2:$AJ$501,'Evaluation Log'!$L$2:$L$501,"MISSING",0),"NOT_REVIEWED"),"MISSING")))</x:f>
      </x:c>
      <x:c r="F74" s="3" t="str">
        <x:f>IF(A74="","",IF(OR(B74&lt;&gt;1,C74&lt;&gt;1),"MISSING",IFERROR(IF(_xlfn.XLOOKUP($A74&amp;"|"&amp;$B$3,'Evaluation Log'!$AJ$2:$AJ$501,'Evaluation Log'!$AN$2:$AN$501,"MISSING",0)=_xlfn.XLOOKUP($A74&amp;"|"&amp;$B$4,'Evaluation Log'!$AJ$2:$AJ$501,'Evaluation Log'!$AN$2:$AN$501,"MISSING",0),"YES","NO"),"MISSING")))</x:f>
      </x:c>
      <x:c r="G74" s="3" t="str">
        <x:f>IF(A74="","",IF(OR(B74&lt;&gt;1,C74&lt;&gt;1),"MISSING",IFERROR(IF(_xlfn.XLOOKUP($A74&amp;"|"&amp;$B$3,'Evaluation Log'!$AJ$2:$AJ$501,'Evaluation Log'!$K$2:$K$501,"MISSING",0)=_xlfn.XLOOKUP($A74&amp;"|"&amp;$B$4,'Evaluation Log'!$AJ$2:$AJ$501,'Evaluation Log'!$K$2:$K$501,"MISSING",0),"NO","YES"),"MISSING")))</x:f>
      </x:c>
      <x:c r="H74" s="3" t="str">
        <x:f>IF(A74="","",IF(OR(B74&lt;&gt;1,C74&lt;&gt;1),"CHECK_IDS",IF(F74&lt;&gt;"YES","CHANGED_BRIEF",IF(OR(AND(D74&lt;&gt;"PASS",D74&lt;&gt;"FAIL"),AND(E74&lt;&gt;"PASS",E74&lt;&gt;"FAIL")),"NOT_REVIEWED",IF(G74&lt;&gt;"YES","UNCHANGED_POST",D74&amp;"_TO_"&amp;E74)))))</x:f>
      </x:c>
      <x:c r="I74" s="3" t="str"/>
    </x:row>
    <x:row r="75" ht="33" customHeight="1">
      <x:c r="A75" s="3" t="str"/>
      <x:c r="B75" s="3" t="str">
        <x:f>IF(A75="","",COUNTIFS('Evaluation Log'!$A$2:$A$501,$A75,'Evaluation Log'!$B$2:$B$501,$B$3))</x:f>
      </x:c>
      <x:c r="C75" s="3" t="str">
        <x:f>IF(A75="","",COUNTIFS('Evaluation Log'!$A$2:$A$501,$A75,'Evaluation Log'!$B$2:$B$501,$B$4))</x:f>
      </x:c>
      <x:c r="D75" s="3" t="str">
        <x:f>IF(A75="","",IF(OR(B75&lt;&gt;1,C75&lt;&gt;1),"CHECK_IDS",IFERROR(IF(AND(_xlfn.XLOOKUP($A75&amp;"|"&amp;$B$3,'Evaluation Log'!$AJ$2:$AJ$501,'Evaluation Log'!$AL$2:$AL$501,"MISSING",0)="YES",_xlfn.XLOOKUP($A75&amp;"|"&amp;$B$3,'Evaluation Log'!$AJ$2:$AJ$501,'Evaluation Log'!$P$2:$P$501,"MISSING",0)=$B$6,_xlfn.XLOOKUP($A75&amp;"|"&amp;$B$3,'Evaluation Log'!$AJ$2:$AJ$501,'Evaluation Log'!$D$2:$D$501,"MISSING",0)=$B$5),_xlfn.XLOOKUP($A75&amp;"|"&amp;$B$3,'Evaluation Log'!$AJ$2:$AJ$501,'Evaluation Log'!$L$2:$L$501,"MISSING",0),"NOT_REVIEWED"),"MISSING")))</x:f>
      </x:c>
      <x:c r="E75" s="3" t="str">
        <x:f>IF(A75="","",IF(OR(B75&lt;&gt;1,C75&lt;&gt;1),"CHECK_IDS",IFERROR(IF(AND(_xlfn.XLOOKUP($A75&amp;"|"&amp;$B$4,'Evaluation Log'!$AJ$2:$AJ$501,'Evaluation Log'!$AL$2:$AL$501,"MISSING",0)="YES",_xlfn.XLOOKUP($A75&amp;"|"&amp;$B$4,'Evaluation Log'!$AJ$2:$AJ$501,'Evaluation Log'!$P$2:$P$501,"MISSING",0)=$B$6,_xlfn.XLOOKUP($A75&amp;"|"&amp;$B$4,'Evaluation Log'!$AJ$2:$AJ$501,'Evaluation Log'!$D$2:$D$501,"MISSING",0)=$B$5),_xlfn.XLOOKUP($A75&amp;"|"&amp;$B$4,'Evaluation Log'!$AJ$2:$AJ$501,'Evaluation Log'!$L$2:$L$501,"MISSING",0),"NOT_REVIEWED"),"MISSING")))</x:f>
      </x:c>
      <x:c r="F75" s="3" t="str">
        <x:f>IF(A75="","",IF(OR(B75&lt;&gt;1,C75&lt;&gt;1),"MISSING",IFERROR(IF(_xlfn.XLOOKUP($A75&amp;"|"&amp;$B$3,'Evaluation Log'!$AJ$2:$AJ$501,'Evaluation Log'!$AN$2:$AN$501,"MISSING",0)=_xlfn.XLOOKUP($A75&amp;"|"&amp;$B$4,'Evaluation Log'!$AJ$2:$AJ$501,'Evaluation Log'!$AN$2:$AN$501,"MISSING",0),"YES","NO"),"MISSING")))</x:f>
      </x:c>
      <x:c r="G75" s="3" t="str">
        <x:f>IF(A75="","",IF(OR(B75&lt;&gt;1,C75&lt;&gt;1),"MISSING",IFERROR(IF(_xlfn.XLOOKUP($A75&amp;"|"&amp;$B$3,'Evaluation Log'!$AJ$2:$AJ$501,'Evaluation Log'!$K$2:$K$501,"MISSING",0)=_xlfn.XLOOKUP($A75&amp;"|"&amp;$B$4,'Evaluation Log'!$AJ$2:$AJ$501,'Evaluation Log'!$K$2:$K$501,"MISSING",0),"NO","YES"),"MISSING")))</x:f>
      </x:c>
      <x:c r="H75" s="3" t="str">
        <x:f>IF(A75="","",IF(OR(B75&lt;&gt;1,C75&lt;&gt;1),"CHECK_IDS",IF(F75&lt;&gt;"YES","CHANGED_BRIEF",IF(OR(AND(D75&lt;&gt;"PASS",D75&lt;&gt;"FAIL"),AND(E75&lt;&gt;"PASS",E75&lt;&gt;"FAIL")),"NOT_REVIEWED",IF(G75&lt;&gt;"YES","UNCHANGED_POST",D75&amp;"_TO_"&amp;E75)))))</x:f>
      </x:c>
      <x:c r="I75" s="3" t="str"/>
    </x:row>
    <x:row r="76" ht="33" customHeight="1">
      <x:c r="A76" s="3" t="str"/>
      <x:c r="B76" s="3" t="str">
        <x:f>IF(A76="","",COUNTIFS('Evaluation Log'!$A$2:$A$501,$A76,'Evaluation Log'!$B$2:$B$501,$B$3))</x:f>
      </x:c>
      <x:c r="C76" s="3" t="str">
        <x:f>IF(A76="","",COUNTIFS('Evaluation Log'!$A$2:$A$501,$A76,'Evaluation Log'!$B$2:$B$501,$B$4))</x:f>
      </x:c>
      <x:c r="D76" s="3" t="str">
        <x:f>IF(A76="","",IF(OR(B76&lt;&gt;1,C76&lt;&gt;1),"CHECK_IDS",IFERROR(IF(AND(_xlfn.XLOOKUP($A76&amp;"|"&amp;$B$3,'Evaluation Log'!$AJ$2:$AJ$501,'Evaluation Log'!$AL$2:$AL$501,"MISSING",0)="YES",_xlfn.XLOOKUP($A76&amp;"|"&amp;$B$3,'Evaluation Log'!$AJ$2:$AJ$501,'Evaluation Log'!$P$2:$P$501,"MISSING",0)=$B$6,_xlfn.XLOOKUP($A76&amp;"|"&amp;$B$3,'Evaluation Log'!$AJ$2:$AJ$501,'Evaluation Log'!$D$2:$D$501,"MISSING",0)=$B$5),_xlfn.XLOOKUP($A76&amp;"|"&amp;$B$3,'Evaluation Log'!$AJ$2:$AJ$501,'Evaluation Log'!$L$2:$L$501,"MISSING",0),"NOT_REVIEWED"),"MISSING")))</x:f>
      </x:c>
      <x:c r="E76" s="3" t="str">
        <x:f>IF(A76="","",IF(OR(B76&lt;&gt;1,C76&lt;&gt;1),"CHECK_IDS",IFERROR(IF(AND(_xlfn.XLOOKUP($A76&amp;"|"&amp;$B$4,'Evaluation Log'!$AJ$2:$AJ$501,'Evaluation Log'!$AL$2:$AL$501,"MISSING",0)="YES",_xlfn.XLOOKUP($A76&amp;"|"&amp;$B$4,'Evaluation Log'!$AJ$2:$AJ$501,'Evaluation Log'!$P$2:$P$501,"MISSING",0)=$B$6,_xlfn.XLOOKUP($A76&amp;"|"&amp;$B$4,'Evaluation Log'!$AJ$2:$AJ$501,'Evaluation Log'!$D$2:$D$501,"MISSING",0)=$B$5),_xlfn.XLOOKUP($A76&amp;"|"&amp;$B$4,'Evaluation Log'!$AJ$2:$AJ$501,'Evaluation Log'!$L$2:$L$501,"MISSING",0),"NOT_REVIEWED"),"MISSING")))</x:f>
      </x:c>
      <x:c r="F76" s="3" t="str">
        <x:f>IF(A76="","",IF(OR(B76&lt;&gt;1,C76&lt;&gt;1),"MISSING",IFERROR(IF(_xlfn.XLOOKUP($A76&amp;"|"&amp;$B$3,'Evaluation Log'!$AJ$2:$AJ$501,'Evaluation Log'!$AN$2:$AN$501,"MISSING",0)=_xlfn.XLOOKUP($A76&amp;"|"&amp;$B$4,'Evaluation Log'!$AJ$2:$AJ$501,'Evaluation Log'!$AN$2:$AN$501,"MISSING",0),"YES","NO"),"MISSING")))</x:f>
      </x:c>
      <x:c r="G76" s="3" t="str">
        <x:f>IF(A76="","",IF(OR(B76&lt;&gt;1,C76&lt;&gt;1),"MISSING",IFERROR(IF(_xlfn.XLOOKUP($A76&amp;"|"&amp;$B$3,'Evaluation Log'!$AJ$2:$AJ$501,'Evaluation Log'!$K$2:$K$501,"MISSING",0)=_xlfn.XLOOKUP($A76&amp;"|"&amp;$B$4,'Evaluation Log'!$AJ$2:$AJ$501,'Evaluation Log'!$K$2:$K$501,"MISSING",0),"NO","YES"),"MISSING")))</x:f>
      </x:c>
      <x:c r="H76" s="3" t="str">
        <x:f>IF(A76="","",IF(OR(B76&lt;&gt;1,C76&lt;&gt;1),"CHECK_IDS",IF(F76&lt;&gt;"YES","CHANGED_BRIEF",IF(OR(AND(D76&lt;&gt;"PASS",D76&lt;&gt;"FAIL"),AND(E76&lt;&gt;"PASS",E76&lt;&gt;"FAIL")),"NOT_REVIEWED",IF(G76&lt;&gt;"YES","UNCHANGED_POST",D76&amp;"_TO_"&amp;E76)))))</x:f>
      </x:c>
      <x:c r="I76" s="3" t="str"/>
    </x:row>
    <x:row r="77" ht="33" customHeight="1">
      <x:c r="A77" s="3" t="str"/>
      <x:c r="B77" s="3" t="str">
        <x:f>IF(A77="","",COUNTIFS('Evaluation Log'!$A$2:$A$501,$A77,'Evaluation Log'!$B$2:$B$501,$B$3))</x:f>
      </x:c>
      <x:c r="C77" s="3" t="str">
        <x:f>IF(A77="","",COUNTIFS('Evaluation Log'!$A$2:$A$501,$A77,'Evaluation Log'!$B$2:$B$501,$B$4))</x:f>
      </x:c>
      <x:c r="D77" s="3" t="str">
        <x:f>IF(A77="","",IF(OR(B77&lt;&gt;1,C77&lt;&gt;1),"CHECK_IDS",IFERROR(IF(AND(_xlfn.XLOOKUP($A77&amp;"|"&amp;$B$3,'Evaluation Log'!$AJ$2:$AJ$501,'Evaluation Log'!$AL$2:$AL$501,"MISSING",0)="YES",_xlfn.XLOOKUP($A77&amp;"|"&amp;$B$3,'Evaluation Log'!$AJ$2:$AJ$501,'Evaluation Log'!$P$2:$P$501,"MISSING",0)=$B$6,_xlfn.XLOOKUP($A77&amp;"|"&amp;$B$3,'Evaluation Log'!$AJ$2:$AJ$501,'Evaluation Log'!$D$2:$D$501,"MISSING",0)=$B$5),_xlfn.XLOOKUP($A77&amp;"|"&amp;$B$3,'Evaluation Log'!$AJ$2:$AJ$501,'Evaluation Log'!$L$2:$L$501,"MISSING",0),"NOT_REVIEWED"),"MISSING")))</x:f>
      </x:c>
      <x:c r="E77" s="3" t="str">
        <x:f>IF(A77="","",IF(OR(B77&lt;&gt;1,C77&lt;&gt;1),"CHECK_IDS",IFERROR(IF(AND(_xlfn.XLOOKUP($A77&amp;"|"&amp;$B$4,'Evaluation Log'!$AJ$2:$AJ$501,'Evaluation Log'!$AL$2:$AL$501,"MISSING",0)="YES",_xlfn.XLOOKUP($A77&amp;"|"&amp;$B$4,'Evaluation Log'!$AJ$2:$AJ$501,'Evaluation Log'!$P$2:$P$501,"MISSING",0)=$B$6,_xlfn.XLOOKUP($A77&amp;"|"&amp;$B$4,'Evaluation Log'!$AJ$2:$AJ$501,'Evaluation Log'!$D$2:$D$501,"MISSING",0)=$B$5),_xlfn.XLOOKUP($A77&amp;"|"&amp;$B$4,'Evaluation Log'!$AJ$2:$AJ$501,'Evaluation Log'!$L$2:$L$501,"MISSING",0),"NOT_REVIEWED"),"MISSING")))</x:f>
      </x:c>
      <x:c r="F77" s="3" t="str">
        <x:f>IF(A77="","",IF(OR(B77&lt;&gt;1,C77&lt;&gt;1),"MISSING",IFERROR(IF(_xlfn.XLOOKUP($A77&amp;"|"&amp;$B$3,'Evaluation Log'!$AJ$2:$AJ$501,'Evaluation Log'!$AN$2:$AN$501,"MISSING",0)=_xlfn.XLOOKUP($A77&amp;"|"&amp;$B$4,'Evaluation Log'!$AJ$2:$AJ$501,'Evaluation Log'!$AN$2:$AN$501,"MISSING",0),"YES","NO"),"MISSING")))</x:f>
      </x:c>
      <x:c r="G77" s="3" t="str">
        <x:f>IF(A77="","",IF(OR(B77&lt;&gt;1,C77&lt;&gt;1),"MISSING",IFERROR(IF(_xlfn.XLOOKUP($A77&amp;"|"&amp;$B$3,'Evaluation Log'!$AJ$2:$AJ$501,'Evaluation Log'!$K$2:$K$501,"MISSING",0)=_xlfn.XLOOKUP($A77&amp;"|"&amp;$B$4,'Evaluation Log'!$AJ$2:$AJ$501,'Evaluation Log'!$K$2:$K$501,"MISSING",0),"NO","YES"),"MISSING")))</x:f>
      </x:c>
      <x:c r="H77" s="3" t="str">
        <x:f>IF(A77="","",IF(OR(B77&lt;&gt;1,C77&lt;&gt;1),"CHECK_IDS",IF(F77&lt;&gt;"YES","CHANGED_BRIEF",IF(OR(AND(D77&lt;&gt;"PASS",D77&lt;&gt;"FAIL"),AND(E77&lt;&gt;"PASS",E77&lt;&gt;"FAIL")),"NOT_REVIEWED",IF(G77&lt;&gt;"YES","UNCHANGED_POST",D77&amp;"_TO_"&amp;E77)))))</x:f>
      </x:c>
      <x:c r="I77" s="3" t="str"/>
    </x:row>
    <x:row r="78" ht="33" customHeight="1">
      <x:c r="A78" s="3" t="str"/>
      <x:c r="B78" s="3" t="str">
        <x:f>IF(A78="","",COUNTIFS('Evaluation Log'!$A$2:$A$501,$A78,'Evaluation Log'!$B$2:$B$501,$B$3))</x:f>
      </x:c>
      <x:c r="C78" s="3" t="str">
        <x:f>IF(A78="","",COUNTIFS('Evaluation Log'!$A$2:$A$501,$A78,'Evaluation Log'!$B$2:$B$501,$B$4))</x:f>
      </x:c>
      <x:c r="D78" s="3" t="str">
        <x:f>IF(A78="","",IF(OR(B78&lt;&gt;1,C78&lt;&gt;1),"CHECK_IDS",IFERROR(IF(AND(_xlfn.XLOOKUP($A78&amp;"|"&amp;$B$3,'Evaluation Log'!$AJ$2:$AJ$501,'Evaluation Log'!$AL$2:$AL$501,"MISSING",0)="YES",_xlfn.XLOOKUP($A78&amp;"|"&amp;$B$3,'Evaluation Log'!$AJ$2:$AJ$501,'Evaluation Log'!$P$2:$P$501,"MISSING",0)=$B$6,_xlfn.XLOOKUP($A78&amp;"|"&amp;$B$3,'Evaluation Log'!$AJ$2:$AJ$501,'Evaluation Log'!$D$2:$D$501,"MISSING",0)=$B$5),_xlfn.XLOOKUP($A78&amp;"|"&amp;$B$3,'Evaluation Log'!$AJ$2:$AJ$501,'Evaluation Log'!$L$2:$L$501,"MISSING",0),"NOT_REVIEWED"),"MISSING")))</x:f>
      </x:c>
      <x:c r="E78" s="3" t="str">
        <x:f>IF(A78="","",IF(OR(B78&lt;&gt;1,C78&lt;&gt;1),"CHECK_IDS",IFERROR(IF(AND(_xlfn.XLOOKUP($A78&amp;"|"&amp;$B$4,'Evaluation Log'!$AJ$2:$AJ$501,'Evaluation Log'!$AL$2:$AL$501,"MISSING",0)="YES",_xlfn.XLOOKUP($A78&amp;"|"&amp;$B$4,'Evaluation Log'!$AJ$2:$AJ$501,'Evaluation Log'!$P$2:$P$501,"MISSING",0)=$B$6,_xlfn.XLOOKUP($A78&amp;"|"&amp;$B$4,'Evaluation Log'!$AJ$2:$AJ$501,'Evaluation Log'!$D$2:$D$501,"MISSING",0)=$B$5),_xlfn.XLOOKUP($A78&amp;"|"&amp;$B$4,'Evaluation Log'!$AJ$2:$AJ$501,'Evaluation Log'!$L$2:$L$501,"MISSING",0),"NOT_REVIEWED"),"MISSING")))</x:f>
      </x:c>
      <x:c r="F78" s="3" t="str">
        <x:f>IF(A78="","",IF(OR(B78&lt;&gt;1,C78&lt;&gt;1),"MISSING",IFERROR(IF(_xlfn.XLOOKUP($A78&amp;"|"&amp;$B$3,'Evaluation Log'!$AJ$2:$AJ$501,'Evaluation Log'!$AN$2:$AN$501,"MISSING",0)=_xlfn.XLOOKUP($A78&amp;"|"&amp;$B$4,'Evaluation Log'!$AJ$2:$AJ$501,'Evaluation Log'!$AN$2:$AN$501,"MISSING",0),"YES","NO"),"MISSING")))</x:f>
      </x:c>
      <x:c r="G78" s="3" t="str">
        <x:f>IF(A78="","",IF(OR(B78&lt;&gt;1,C78&lt;&gt;1),"MISSING",IFERROR(IF(_xlfn.XLOOKUP($A78&amp;"|"&amp;$B$3,'Evaluation Log'!$AJ$2:$AJ$501,'Evaluation Log'!$K$2:$K$501,"MISSING",0)=_xlfn.XLOOKUP($A78&amp;"|"&amp;$B$4,'Evaluation Log'!$AJ$2:$AJ$501,'Evaluation Log'!$K$2:$K$501,"MISSING",0),"NO","YES"),"MISSING")))</x:f>
      </x:c>
      <x:c r="H78" s="3" t="str">
        <x:f>IF(A78="","",IF(OR(B78&lt;&gt;1,C78&lt;&gt;1),"CHECK_IDS",IF(F78&lt;&gt;"YES","CHANGED_BRIEF",IF(OR(AND(D78&lt;&gt;"PASS",D78&lt;&gt;"FAIL"),AND(E78&lt;&gt;"PASS",E78&lt;&gt;"FAIL")),"NOT_REVIEWED",IF(G78&lt;&gt;"YES","UNCHANGED_POST",D78&amp;"_TO_"&amp;E78)))))</x:f>
      </x:c>
      <x:c r="I78" s="3" t="str"/>
    </x:row>
    <x:row r="79" ht="33" customHeight="1">
      <x:c r="A79" s="3" t="str"/>
      <x:c r="B79" s="3" t="str">
        <x:f>IF(A79="","",COUNTIFS('Evaluation Log'!$A$2:$A$501,$A79,'Evaluation Log'!$B$2:$B$501,$B$3))</x:f>
      </x:c>
      <x:c r="C79" s="3" t="str">
        <x:f>IF(A79="","",COUNTIFS('Evaluation Log'!$A$2:$A$501,$A79,'Evaluation Log'!$B$2:$B$501,$B$4))</x:f>
      </x:c>
      <x:c r="D79" s="3" t="str">
        <x:f>IF(A79="","",IF(OR(B79&lt;&gt;1,C79&lt;&gt;1),"CHECK_IDS",IFERROR(IF(AND(_xlfn.XLOOKUP($A79&amp;"|"&amp;$B$3,'Evaluation Log'!$AJ$2:$AJ$501,'Evaluation Log'!$AL$2:$AL$501,"MISSING",0)="YES",_xlfn.XLOOKUP($A79&amp;"|"&amp;$B$3,'Evaluation Log'!$AJ$2:$AJ$501,'Evaluation Log'!$P$2:$P$501,"MISSING",0)=$B$6,_xlfn.XLOOKUP($A79&amp;"|"&amp;$B$3,'Evaluation Log'!$AJ$2:$AJ$501,'Evaluation Log'!$D$2:$D$501,"MISSING",0)=$B$5),_xlfn.XLOOKUP($A79&amp;"|"&amp;$B$3,'Evaluation Log'!$AJ$2:$AJ$501,'Evaluation Log'!$L$2:$L$501,"MISSING",0),"NOT_REVIEWED"),"MISSING")))</x:f>
      </x:c>
      <x:c r="E79" s="3" t="str">
        <x:f>IF(A79="","",IF(OR(B79&lt;&gt;1,C79&lt;&gt;1),"CHECK_IDS",IFERROR(IF(AND(_xlfn.XLOOKUP($A79&amp;"|"&amp;$B$4,'Evaluation Log'!$AJ$2:$AJ$501,'Evaluation Log'!$AL$2:$AL$501,"MISSING",0)="YES",_xlfn.XLOOKUP($A79&amp;"|"&amp;$B$4,'Evaluation Log'!$AJ$2:$AJ$501,'Evaluation Log'!$P$2:$P$501,"MISSING",0)=$B$6,_xlfn.XLOOKUP($A79&amp;"|"&amp;$B$4,'Evaluation Log'!$AJ$2:$AJ$501,'Evaluation Log'!$D$2:$D$501,"MISSING",0)=$B$5),_xlfn.XLOOKUP($A79&amp;"|"&amp;$B$4,'Evaluation Log'!$AJ$2:$AJ$501,'Evaluation Log'!$L$2:$L$501,"MISSING",0),"NOT_REVIEWED"),"MISSING")))</x:f>
      </x:c>
      <x:c r="F79" s="3" t="str">
        <x:f>IF(A79="","",IF(OR(B79&lt;&gt;1,C79&lt;&gt;1),"MISSING",IFERROR(IF(_xlfn.XLOOKUP($A79&amp;"|"&amp;$B$3,'Evaluation Log'!$AJ$2:$AJ$501,'Evaluation Log'!$AN$2:$AN$501,"MISSING",0)=_xlfn.XLOOKUP($A79&amp;"|"&amp;$B$4,'Evaluation Log'!$AJ$2:$AJ$501,'Evaluation Log'!$AN$2:$AN$501,"MISSING",0),"YES","NO"),"MISSING")))</x:f>
      </x:c>
      <x:c r="G79" s="3" t="str">
        <x:f>IF(A79="","",IF(OR(B79&lt;&gt;1,C79&lt;&gt;1),"MISSING",IFERROR(IF(_xlfn.XLOOKUP($A79&amp;"|"&amp;$B$3,'Evaluation Log'!$AJ$2:$AJ$501,'Evaluation Log'!$K$2:$K$501,"MISSING",0)=_xlfn.XLOOKUP($A79&amp;"|"&amp;$B$4,'Evaluation Log'!$AJ$2:$AJ$501,'Evaluation Log'!$K$2:$K$501,"MISSING",0),"NO","YES"),"MISSING")))</x:f>
      </x:c>
      <x:c r="H79" s="3" t="str">
        <x:f>IF(A79="","",IF(OR(B79&lt;&gt;1,C79&lt;&gt;1),"CHECK_IDS",IF(F79&lt;&gt;"YES","CHANGED_BRIEF",IF(OR(AND(D79&lt;&gt;"PASS",D79&lt;&gt;"FAIL"),AND(E79&lt;&gt;"PASS",E79&lt;&gt;"FAIL")),"NOT_REVIEWED",IF(G79&lt;&gt;"YES","UNCHANGED_POST",D79&amp;"_TO_"&amp;E79)))))</x:f>
      </x:c>
      <x:c r="I79" s="3" t="str"/>
    </x:row>
    <x:row r="80" ht="33" customHeight="1">
      <x:c r="A80" s="3" t="str"/>
      <x:c r="B80" s="3" t="str">
        <x:f>IF(A80="","",COUNTIFS('Evaluation Log'!$A$2:$A$501,$A80,'Evaluation Log'!$B$2:$B$501,$B$3))</x:f>
      </x:c>
      <x:c r="C80" s="3" t="str">
        <x:f>IF(A80="","",COUNTIFS('Evaluation Log'!$A$2:$A$501,$A80,'Evaluation Log'!$B$2:$B$501,$B$4))</x:f>
      </x:c>
      <x:c r="D80" s="3" t="str">
        <x:f>IF(A80="","",IF(OR(B80&lt;&gt;1,C80&lt;&gt;1),"CHECK_IDS",IFERROR(IF(AND(_xlfn.XLOOKUP($A80&amp;"|"&amp;$B$3,'Evaluation Log'!$AJ$2:$AJ$501,'Evaluation Log'!$AL$2:$AL$501,"MISSING",0)="YES",_xlfn.XLOOKUP($A80&amp;"|"&amp;$B$3,'Evaluation Log'!$AJ$2:$AJ$501,'Evaluation Log'!$P$2:$P$501,"MISSING",0)=$B$6,_xlfn.XLOOKUP($A80&amp;"|"&amp;$B$3,'Evaluation Log'!$AJ$2:$AJ$501,'Evaluation Log'!$D$2:$D$501,"MISSING",0)=$B$5),_xlfn.XLOOKUP($A80&amp;"|"&amp;$B$3,'Evaluation Log'!$AJ$2:$AJ$501,'Evaluation Log'!$L$2:$L$501,"MISSING",0),"NOT_REVIEWED"),"MISSING")))</x:f>
      </x:c>
      <x:c r="E80" s="3" t="str">
        <x:f>IF(A80="","",IF(OR(B80&lt;&gt;1,C80&lt;&gt;1),"CHECK_IDS",IFERROR(IF(AND(_xlfn.XLOOKUP($A80&amp;"|"&amp;$B$4,'Evaluation Log'!$AJ$2:$AJ$501,'Evaluation Log'!$AL$2:$AL$501,"MISSING",0)="YES",_xlfn.XLOOKUP($A80&amp;"|"&amp;$B$4,'Evaluation Log'!$AJ$2:$AJ$501,'Evaluation Log'!$P$2:$P$501,"MISSING",0)=$B$6,_xlfn.XLOOKUP($A80&amp;"|"&amp;$B$4,'Evaluation Log'!$AJ$2:$AJ$501,'Evaluation Log'!$D$2:$D$501,"MISSING",0)=$B$5),_xlfn.XLOOKUP($A80&amp;"|"&amp;$B$4,'Evaluation Log'!$AJ$2:$AJ$501,'Evaluation Log'!$L$2:$L$501,"MISSING",0),"NOT_REVIEWED"),"MISSING")))</x:f>
      </x:c>
      <x:c r="F80" s="3" t="str">
        <x:f>IF(A80="","",IF(OR(B80&lt;&gt;1,C80&lt;&gt;1),"MISSING",IFERROR(IF(_xlfn.XLOOKUP($A80&amp;"|"&amp;$B$3,'Evaluation Log'!$AJ$2:$AJ$501,'Evaluation Log'!$AN$2:$AN$501,"MISSING",0)=_xlfn.XLOOKUP($A80&amp;"|"&amp;$B$4,'Evaluation Log'!$AJ$2:$AJ$501,'Evaluation Log'!$AN$2:$AN$501,"MISSING",0),"YES","NO"),"MISSING")))</x:f>
      </x:c>
      <x:c r="G80" s="3" t="str">
        <x:f>IF(A80="","",IF(OR(B80&lt;&gt;1,C80&lt;&gt;1),"MISSING",IFERROR(IF(_xlfn.XLOOKUP($A80&amp;"|"&amp;$B$3,'Evaluation Log'!$AJ$2:$AJ$501,'Evaluation Log'!$K$2:$K$501,"MISSING",0)=_xlfn.XLOOKUP($A80&amp;"|"&amp;$B$4,'Evaluation Log'!$AJ$2:$AJ$501,'Evaluation Log'!$K$2:$K$501,"MISSING",0),"NO","YES"),"MISSING")))</x:f>
      </x:c>
      <x:c r="H80" s="3" t="str">
        <x:f>IF(A80="","",IF(OR(B80&lt;&gt;1,C80&lt;&gt;1),"CHECK_IDS",IF(F80&lt;&gt;"YES","CHANGED_BRIEF",IF(OR(AND(D80&lt;&gt;"PASS",D80&lt;&gt;"FAIL"),AND(E80&lt;&gt;"PASS",E80&lt;&gt;"FAIL")),"NOT_REVIEWED",IF(G80&lt;&gt;"YES","UNCHANGED_POST",D80&amp;"_TO_"&amp;E80)))))</x:f>
      </x:c>
      <x:c r="I80" s="3" t="str"/>
    </x:row>
    <x:row r="81" ht="33" customHeight="1">
      <x:c r="A81" s="3" t="str"/>
      <x:c r="B81" s="3" t="str">
        <x:f>IF(A81="","",COUNTIFS('Evaluation Log'!$A$2:$A$501,$A81,'Evaluation Log'!$B$2:$B$501,$B$3))</x:f>
      </x:c>
      <x:c r="C81" s="3" t="str">
        <x:f>IF(A81="","",COUNTIFS('Evaluation Log'!$A$2:$A$501,$A81,'Evaluation Log'!$B$2:$B$501,$B$4))</x:f>
      </x:c>
      <x:c r="D81" s="3" t="str">
        <x:f>IF(A81="","",IF(OR(B81&lt;&gt;1,C81&lt;&gt;1),"CHECK_IDS",IFERROR(IF(AND(_xlfn.XLOOKUP($A81&amp;"|"&amp;$B$3,'Evaluation Log'!$AJ$2:$AJ$501,'Evaluation Log'!$AL$2:$AL$501,"MISSING",0)="YES",_xlfn.XLOOKUP($A81&amp;"|"&amp;$B$3,'Evaluation Log'!$AJ$2:$AJ$501,'Evaluation Log'!$P$2:$P$501,"MISSING",0)=$B$6,_xlfn.XLOOKUP($A81&amp;"|"&amp;$B$3,'Evaluation Log'!$AJ$2:$AJ$501,'Evaluation Log'!$D$2:$D$501,"MISSING",0)=$B$5),_xlfn.XLOOKUP($A81&amp;"|"&amp;$B$3,'Evaluation Log'!$AJ$2:$AJ$501,'Evaluation Log'!$L$2:$L$501,"MISSING",0),"NOT_REVIEWED"),"MISSING")))</x:f>
      </x:c>
      <x:c r="E81" s="3" t="str">
        <x:f>IF(A81="","",IF(OR(B81&lt;&gt;1,C81&lt;&gt;1),"CHECK_IDS",IFERROR(IF(AND(_xlfn.XLOOKUP($A81&amp;"|"&amp;$B$4,'Evaluation Log'!$AJ$2:$AJ$501,'Evaluation Log'!$AL$2:$AL$501,"MISSING",0)="YES",_xlfn.XLOOKUP($A81&amp;"|"&amp;$B$4,'Evaluation Log'!$AJ$2:$AJ$501,'Evaluation Log'!$P$2:$P$501,"MISSING",0)=$B$6,_xlfn.XLOOKUP($A81&amp;"|"&amp;$B$4,'Evaluation Log'!$AJ$2:$AJ$501,'Evaluation Log'!$D$2:$D$501,"MISSING",0)=$B$5),_xlfn.XLOOKUP($A81&amp;"|"&amp;$B$4,'Evaluation Log'!$AJ$2:$AJ$501,'Evaluation Log'!$L$2:$L$501,"MISSING",0),"NOT_REVIEWED"),"MISSING")))</x:f>
      </x:c>
      <x:c r="F81" s="3" t="str">
        <x:f>IF(A81="","",IF(OR(B81&lt;&gt;1,C81&lt;&gt;1),"MISSING",IFERROR(IF(_xlfn.XLOOKUP($A81&amp;"|"&amp;$B$3,'Evaluation Log'!$AJ$2:$AJ$501,'Evaluation Log'!$AN$2:$AN$501,"MISSING",0)=_xlfn.XLOOKUP($A81&amp;"|"&amp;$B$4,'Evaluation Log'!$AJ$2:$AJ$501,'Evaluation Log'!$AN$2:$AN$501,"MISSING",0),"YES","NO"),"MISSING")))</x:f>
      </x:c>
      <x:c r="G81" s="3" t="str">
        <x:f>IF(A81="","",IF(OR(B81&lt;&gt;1,C81&lt;&gt;1),"MISSING",IFERROR(IF(_xlfn.XLOOKUP($A81&amp;"|"&amp;$B$3,'Evaluation Log'!$AJ$2:$AJ$501,'Evaluation Log'!$K$2:$K$501,"MISSING",0)=_xlfn.XLOOKUP($A81&amp;"|"&amp;$B$4,'Evaluation Log'!$AJ$2:$AJ$501,'Evaluation Log'!$K$2:$K$501,"MISSING",0),"NO","YES"),"MISSING")))</x:f>
      </x:c>
      <x:c r="H81" s="3" t="str">
        <x:f>IF(A81="","",IF(OR(B81&lt;&gt;1,C81&lt;&gt;1),"CHECK_IDS",IF(F81&lt;&gt;"YES","CHANGED_BRIEF",IF(OR(AND(D81&lt;&gt;"PASS",D81&lt;&gt;"FAIL"),AND(E81&lt;&gt;"PASS",E81&lt;&gt;"FAIL")),"NOT_REVIEWED",IF(G81&lt;&gt;"YES","UNCHANGED_POST",D81&amp;"_TO_"&amp;E81)))))</x:f>
      </x:c>
      <x:c r="I81" s="3" t="str"/>
    </x:row>
    <x:row r="82" ht="33" customHeight="1">
      <x:c r="A82" s="3" t="str"/>
      <x:c r="B82" s="3" t="str">
        <x:f>IF(A82="","",COUNTIFS('Evaluation Log'!$A$2:$A$501,$A82,'Evaluation Log'!$B$2:$B$501,$B$3))</x:f>
      </x:c>
      <x:c r="C82" s="3" t="str">
        <x:f>IF(A82="","",COUNTIFS('Evaluation Log'!$A$2:$A$501,$A82,'Evaluation Log'!$B$2:$B$501,$B$4))</x:f>
      </x:c>
      <x:c r="D82" s="3" t="str">
        <x:f>IF(A82="","",IF(OR(B82&lt;&gt;1,C82&lt;&gt;1),"CHECK_IDS",IFERROR(IF(AND(_xlfn.XLOOKUP($A82&amp;"|"&amp;$B$3,'Evaluation Log'!$AJ$2:$AJ$501,'Evaluation Log'!$AL$2:$AL$501,"MISSING",0)="YES",_xlfn.XLOOKUP($A82&amp;"|"&amp;$B$3,'Evaluation Log'!$AJ$2:$AJ$501,'Evaluation Log'!$P$2:$P$501,"MISSING",0)=$B$6,_xlfn.XLOOKUP($A82&amp;"|"&amp;$B$3,'Evaluation Log'!$AJ$2:$AJ$501,'Evaluation Log'!$D$2:$D$501,"MISSING",0)=$B$5),_xlfn.XLOOKUP($A82&amp;"|"&amp;$B$3,'Evaluation Log'!$AJ$2:$AJ$501,'Evaluation Log'!$L$2:$L$501,"MISSING",0),"NOT_REVIEWED"),"MISSING")))</x:f>
      </x:c>
      <x:c r="E82" s="3" t="str">
        <x:f>IF(A82="","",IF(OR(B82&lt;&gt;1,C82&lt;&gt;1),"CHECK_IDS",IFERROR(IF(AND(_xlfn.XLOOKUP($A82&amp;"|"&amp;$B$4,'Evaluation Log'!$AJ$2:$AJ$501,'Evaluation Log'!$AL$2:$AL$501,"MISSING",0)="YES",_xlfn.XLOOKUP($A82&amp;"|"&amp;$B$4,'Evaluation Log'!$AJ$2:$AJ$501,'Evaluation Log'!$P$2:$P$501,"MISSING",0)=$B$6,_xlfn.XLOOKUP($A82&amp;"|"&amp;$B$4,'Evaluation Log'!$AJ$2:$AJ$501,'Evaluation Log'!$D$2:$D$501,"MISSING",0)=$B$5),_xlfn.XLOOKUP($A82&amp;"|"&amp;$B$4,'Evaluation Log'!$AJ$2:$AJ$501,'Evaluation Log'!$L$2:$L$501,"MISSING",0),"NOT_REVIEWED"),"MISSING")))</x:f>
      </x:c>
      <x:c r="F82" s="3" t="str">
        <x:f>IF(A82="","",IF(OR(B82&lt;&gt;1,C82&lt;&gt;1),"MISSING",IFERROR(IF(_xlfn.XLOOKUP($A82&amp;"|"&amp;$B$3,'Evaluation Log'!$AJ$2:$AJ$501,'Evaluation Log'!$AN$2:$AN$501,"MISSING",0)=_xlfn.XLOOKUP($A82&amp;"|"&amp;$B$4,'Evaluation Log'!$AJ$2:$AJ$501,'Evaluation Log'!$AN$2:$AN$501,"MISSING",0),"YES","NO"),"MISSING")))</x:f>
      </x:c>
      <x:c r="G82" s="3" t="str">
        <x:f>IF(A82="","",IF(OR(B82&lt;&gt;1,C82&lt;&gt;1),"MISSING",IFERROR(IF(_xlfn.XLOOKUP($A82&amp;"|"&amp;$B$3,'Evaluation Log'!$AJ$2:$AJ$501,'Evaluation Log'!$K$2:$K$501,"MISSING",0)=_xlfn.XLOOKUP($A82&amp;"|"&amp;$B$4,'Evaluation Log'!$AJ$2:$AJ$501,'Evaluation Log'!$K$2:$K$501,"MISSING",0),"NO","YES"),"MISSING")))</x:f>
      </x:c>
      <x:c r="H82" s="3" t="str">
        <x:f>IF(A82="","",IF(OR(B82&lt;&gt;1,C82&lt;&gt;1),"CHECK_IDS",IF(F82&lt;&gt;"YES","CHANGED_BRIEF",IF(OR(AND(D82&lt;&gt;"PASS",D82&lt;&gt;"FAIL"),AND(E82&lt;&gt;"PASS",E82&lt;&gt;"FAIL")),"NOT_REVIEWED",IF(G82&lt;&gt;"YES","UNCHANGED_POST",D82&amp;"_TO_"&amp;E82)))))</x:f>
      </x:c>
      <x:c r="I82" s="3" t="str"/>
    </x:row>
    <x:row r="83" ht="33" customHeight="1">
      <x:c r="A83" s="3" t="str"/>
      <x:c r="B83" s="3" t="str">
        <x:f>IF(A83="","",COUNTIFS('Evaluation Log'!$A$2:$A$501,$A83,'Evaluation Log'!$B$2:$B$501,$B$3))</x:f>
      </x:c>
      <x:c r="C83" s="3" t="str">
        <x:f>IF(A83="","",COUNTIFS('Evaluation Log'!$A$2:$A$501,$A83,'Evaluation Log'!$B$2:$B$501,$B$4))</x:f>
      </x:c>
      <x:c r="D83" s="3" t="str">
        <x:f>IF(A83="","",IF(OR(B83&lt;&gt;1,C83&lt;&gt;1),"CHECK_IDS",IFERROR(IF(AND(_xlfn.XLOOKUP($A83&amp;"|"&amp;$B$3,'Evaluation Log'!$AJ$2:$AJ$501,'Evaluation Log'!$AL$2:$AL$501,"MISSING",0)="YES",_xlfn.XLOOKUP($A83&amp;"|"&amp;$B$3,'Evaluation Log'!$AJ$2:$AJ$501,'Evaluation Log'!$P$2:$P$501,"MISSING",0)=$B$6,_xlfn.XLOOKUP($A83&amp;"|"&amp;$B$3,'Evaluation Log'!$AJ$2:$AJ$501,'Evaluation Log'!$D$2:$D$501,"MISSING",0)=$B$5),_xlfn.XLOOKUP($A83&amp;"|"&amp;$B$3,'Evaluation Log'!$AJ$2:$AJ$501,'Evaluation Log'!$L$2:$L$501,"MISSING",0),"NOT_REVIEWED"),"MISSING")))</x:f>
      </x:c>
      <x:c r="E83" s="3" t="str">
        <x:f>IF(A83="","",IF(OR(B83&lt;&gt;1,C83&lt;&gt;1),"CHECK_IDS",IFERROR(IF(AND(_xlfn.XLOOKUP($A83&amp;"|"&amp;$B$4,'Evaluation Log'!$AJ$2:$AJ$501,'Evaluation Log'!$AL$2:$AL$501,"MISSING",0)="YES",_xlfn.XLOOKUP($A83&amp;"|"&amp;$B$4,'Evaluation Log'!$AJ$2:$AJ$501,'Evaluation Log'!$P$2:$P$501,"MISSING",0)=$B$6,_xlfn.XLOOKUP($A83&amp;"|"&amp;$B$4,'Evaluation Log'!$AJ$2:$AJ$501,'Evaluation Log'!$D$2:$D$501,"MISSING",0)=$B$5),_xlfn.XLOOKUP($A83&amp;"|"&amp;$B$4,'Evaluation Log'!$AJ$2:$AJ$501,'Evaluation Log'!$L$2:$L$501,"MISSING",0),"NOT_REVIEWED"),"MISSING")))</x:f>
      </x:c>
      <x:c r="F83" s="3" t="str">
        <x:f>IF(A83="","",IF(OR(B83&lt;&gt;1,C83&lt;&gt;1),"MISSING",IFERROR(IF(_xlfn.XLOOKUP($A83&amp;"|"&amp;$B$3,'Evaluation Log'!$AJ$2:$AJ$501,'Evaluation Log'!$AN$2:$AN$501,"MISSING",0)=_xlfn.XLOOKUP($A83&amp;"|"&amp;$B$4,'Evaluation Log'!$AJ$2:$AJ$501,'Evaluation Log'!$AN$2:$AN$501,"MISSING",0),"YES","NO"),"MISSING")))</x:f>
      </x:c>
      <x:c r="G83" s="3" t="str">
        <x:f>IF(A83="","",IF(OR(B83&lt;&gt;1,C83&lt;&gt;1),"MISSING",IFERROR(IF(_xlfn.XLOOKUP($A83&amp;"|"&amp;$B$3,'Evaluation Log'!$AJ$2:$AJ$501,'Evaluation Log'!$K$2:$K$501,"MISSING",0)=_xlfn.XLOOKUP($A83&amp;"|"&amp;$B$4,'Evaluation Log'!$AJ$2:$AJ$501,'Evaluation Log'!$K$2:$K$501,"MISSING",0),"NO","YES"),"MISSING")))</x:f>
      </x:c>
      <x:c r="H83" s="3" t="str">
        <x:f>IF(A83="","",IF(OR(B83&lt;&gt;1,C83&lt;&gt;1),"CHECK_IDS",IF(F83&lt;&gt;"YES","CHANGED_BRIEF",IF(OR(AND(D83&lt;&gt;"PASS",D83&lt;&gt;"FAIL"),AND(E83&lt;&gt;"PASS",E83&lt;&gt;"FAIL")),"NOT_REVIEWED",IF(G83&lt;&gt;"YES","UNCHANGED_POST",D83&amp;"_TO_"&amp;E83)))))</x:f>
      </x:c>
      <x:c r="I83" s="3" t="str"/>
    </x:row>
    <x:row r="84" ht="33" customHeight="1">
      <x:c r="A84" s="3" t="str"/>
      <x:c r="B84" s="3" t="str">
        <x:f>IF(A84="","",COUNTIFS('Evaluation Log'!$A$2:$A$501,$A84,'Evaluation Log'!$B$2:$B$501,$B$3))</x:f>
      </x:c>
      <x:c r="C84" s="3" t="str">
        <x:f>IF(A84="","",COUNTIFS('Evaluation Log'!$A$2:$A$501,$A84,'Evaluation Log'!$B$2:$B$501,$B$4))</x:f>
      </x:c>
      <x:c r="D84" s="3" t="str">
        <x:f>IF(A84="","",IF(OR(B84&lt;&gt;1,C84&lt;&gt;1),"CHECK_IDS",IFERROR(IF(AND(_xlfn.XLOOKUP($A84&amp;"|"&amp;$B$3,'Evaluation Log'!$AJ$2:$AJ$501,'Evaluation Log'!$AL$2:$AL$501,"MISSING",0)="YES",_xlfn.XLOOKUP($A84&amp;"|"&amp;$B$3,'Evaluation Log'!$AJ$2:$AJ$501,'Evaluation Log'!$P$2:$P$501,"MISSING",0)=$B$6,_xlfn.XLOOKUP($A84&amp;"|"&amp;$B$3,'Evaluation Log'!$AJ$2:$AJ$501,'Evaluation Log'!$D$2:$D$501,"MISSING",0)=$B$5),_xlfn.XLOOKUP($A84&amp;"|"&amp;$B$3,'Evaluation Log'!$AJ$2:$AJ$501,'Evaluation Log'!$L$2:$L$501,"MISSING",0),"NOT_REVIEWED"),"MISSING")))</x:f>
      </x:c>
      <x:c r="E84" s="3" t="str">
        <x:f>IF(A84="","",IF(OR(B84&lt;&gt;1,C84&lt;&gt;1),"CHECK_IDS",IFERROR(IF(AND(_xlfn.XLOOKUP($A84&amp;"|"&amp;$B$4,'Evaluation Log'!$AJ$2:$AJ$501,'Evaluation Log'!$AL$2:$AL$501,"MISSING",0)="YES",_xlfn.XLOOKUP($A84&amp;"|"&amp;$B$4,'Evaluation Log'!$AJ$2:$AJ$501,'Evaluation Log'!$P$2:$P$501,"MISSING",0)=$B$6,_xlfn.XLOOKUP($A84&amp;"|"&amp;$B$4,'Evaluation Log'!$AJ$2:$AJ$501,'Evaluation Log'!$D$2:$D$501,"MISSING",0)=$B$5),_xlfn.XLOOKUP($A84&amp;"|"&amp;$B$4,'Evaluation Log'!$AJ$2:$AJ$501,'Evaluation Log'!$L$2:$L$501,"MISSING",0),"NOT_REVIEWED"),"MISSING")))</x:f>
      </x:c>
      <x:c r="F84" s="3" t="str">
        <x:f>IF(A84="","",IF(OR(B84&lt;&gt;1,C84&lt;&gt;1),"MISSING",IFERROR(IF(_xlfn.XLOOKUP($A84&amp;"|"&amp;$B$3,'Evaluation Log'!$AJ$2:$AJ$501,'Evaluation Log'!$AN$2:$AN$501,"MISSING",0)=_xlfn.XLOOKUP($A84&amp;"|"&amp;$B$4,'Evaluation Log'!$AJ$2:$AJ$501,'Evaluation Log'!$AN$2:$AN$501,"MISSING",0),"YES","NO"),"MISSING")))</x:f>
      </x:c>
      <x:c r="G84" s="3" t="str">
        <x:f>IF(A84="","",IF(OR(B84&lt;&gt;1,C84&lt;&gt;1),"MISSING",IFERROR(IF(_xlfn.XLOOKUP($A84&amp;"|"&amp;$B$3,'Evaluation Log'!$AJ$2:$AJ$501,'Evaluation Log'!$K$2:$K$501,"MISSING",0)=_xlfn.XLOOKUP($A84&amp;"|"&amp;$B$4,'Evaluation Log'!$AJ$2:$AJ$501,'Evaluation Log'!$K$2:$K$501,"MISSING",0),"NO","YES"),"MISSING")))</x:f>
      </x:c>
      <x:c r="H84" s="3" t="str">
        <x:f>IF(A84="","",IF(OR(B84&lt;&gt;1,C84&lt;&gt;1),"CHECK_IDS",IF(F84&lt;&gt;"YES","CHANGED_BRIEF",IF(OR(AND(D84&lt;&gt;"PASS",D84&lt;&gt;"FAIL"),AND(E84&lt;&gt;"PASS",E84&lt;&gt;"FAIL")),"NOT_REVIEWED",IF(G84&lt;&gt;"YES","UNCHANGED_POST",D84&amp;"_TO_"&amp;E84)))))</x:f>
      </x:c>
      <x:c r="I84" s="3" t="str"/>
    </x:row>
    <x:row r="85" ht="33" customHeight="1">
      <x:c r="A85" s="3" t="str"/>
      <x:c r="B85" s="3" t="str">
        <x:f>IF(A85="","",COUNTIFS('Evaluation Log'!$A$2:$A$501,$A85,'Evaluation Log'!$B$2:$B$501,$B$3))</x:f>
      </x:c>
      <x:c r="C85" s="3" t="str">
        <x:f>IF(A85="","",COUNTIFS('Evaluation Log'!$A$2:$A$501,$A85,'Evaluation Log'!$B$2:$B$501,$B$4))</x:f>
      </x:c>
      <x:c r="D85" s="3" t="str">
        <x:f>IF(A85="","",IF(OR(B85&lt;&gt;1,C85&lt;&gt;1),"CHECK_IDS",IFERROR(IF(AND(_xlfn.XLOOKUP($A85&amp;"|"&amp;$B$3,'Evaluation Log'!$AJ$2:$AJ$501,'Evaluation Log'!$AL$2:$AL$501,"MISSING",0)="YES",_xlfn.XLOOKUP($A85&amp;"|"&amp;$B$3,'Evaluation Log'!$AJ$2:$AJ$501,'Evaluation Log'!$P$2:$P$501,"MISSING",0)=$B$6,_xlfn.XLOOKUP($A85&amp;"|"&amp;$B$3,'Evaluation Log'!$AJ$2:$AJ$501,'Evaluation Log'!$D$2:$D$501,"MISSING",0)=$B$5),_xlfn.XLOOKUP($A85&amp;"|"&amp;$B$3,'Evaluation Log'!$AJ$2:$AJ$501,'Evaluation Log'!$L$2:$L$501,"MISSING",0),"NOT_REVIEWED"),"MISSING")))</x:f>
      </x:c>
      <x:c r="E85" s="3" t="str">
        <x:f>IF(A85="","",IF(OR(B85&lt;&gt;1,C85&lt;&gt;1),"CHECK_IDS",IFERROR(IF(AND(_xlfn.XLOOKUP($A85&amp;"|"&amp;$B$4,'Evaluation Log'!$AJ$2:$AJ$501,'Evaluation Log'!$AL$2:$AL$501,"MISSING",0)="YES",_xlfn.XLOOKUP($A85&amp;"|"&amp;$B$4,'Evaluation Log'!$AJ$2:$AJ$501,'Evaluation Log'!$P$2:$P$501,"MISSING",0)=$B$6,_xlfn.XLOOKUP($A85&amp;"|"&amp;$B$4,'Evaluation Log'!$AJ$2:$AJ$501,'Evaluation Log'!$D$2:$D$501,"MISSING",0)=$B$5),_xlfn.XLOOKUP($A85&amp;"|"&amp;$B$4,'Evaluation Log'!$AJ$2:$AJ$501,'Evaluation Log'!$L$2:$L$501,"MISSING",0),"NOT_REVIEWED"),"MISSING")))</x:f>
      </x:c>
      <x:c r="F85" s="3" t="str">
        <x:f>IF(A85="","",IF(OR(B85&lt;&gt;1,C85&lt;&gt;1),"MISSING",IFERROR(IF(_xlfn.XLOOKUP($A85&amp;"|"&amp;$B$3,'Evaluation Log'!$AJ$2:$AJ$501,'Evaluation Log'!$AN$2:$AN$501,"MISSING",0)=_xlfn.XLOOKUP($A85&amp;"|"&amp;$B$4,'Evaluation Log'!$AJ$2:$AJ$501,'Evaluation Log'!$AN$2:$AN$501,"MISSING",0),"YES","NO"),"MISSING")))</x:f>
      </x:c>
      <x:c r="G85" s="3" t="str">
        <x:f>IF(A85="","",IF(OR(B85&lt;&gt;1,C85&lt;&gt;1),"MISSING",IFERROR(IF(_xlfn.XLOOKUP($A85&amp;"|"&amp;$B$3,'Evaluation Log'!$AJ$2:$AJ$501,'Evaluation Log'!$K$2:$K$501,"MISSING",0)=_xlfn.XLOOKUP($A85&amp;"|"&amp;$B$4,'Evaluation Log'!$AJ$2:$AJ$501,'Evaluation Log'!$K$2:$K$501,"MISSING",0),"NO","YES"),"MISSING")))</x:f>
      </x:c>
      <x:c r="H85" s="3" t="str">
        <x:f>IF(A85="","",IF(OR(B85&lt;&gt;1,C85&lt;&gt;1),"CHECK_IDS",IF(F85&lt;&gt;"YES","CHANGED_BRIEF",IF(OR(AND(D85&lt;&gt;"PASS",D85&lt;&gt;"FAIL"),AND(E85&lt;&gt;"PASS",E85&lt;&gt;"FAIL")),"NOT_REVIEWED",IF(G85&lt;&gt;"YES","UNCHANGED_POST",D85&amp;"_TO_"&amp;E85)))))</x:f>
      </x:c>
      <x:c r="I85" s="3" t="str"/>
    </x:row>
    <x:row r="86" ht="33" customHeight="1">
      <x:c r="A86" s="3" t="str"/>
      <x:c r="B86" s="3" t="str">
        <x:f>IF(A86="","",COUNTIFS('Evaluation Log'!$A$2:$A$501,$A86,'Evaluation Log'!$B$2:$B$501,$B$3))</x:f>
      </x:c>
      <x:c r="C86" s="3" t="str">
        <x:f>IF(A86="","",COUNTIFS('Evaluation Log'!$A$2:$A$501,$A86,'Evaluation Log'!$B$2:$B$501,$B$4))</x:f>
      </x:c>
      <x:c r="D86" s="3" t="str">
        <x:f>IF(A86="","",IF(OR(B86&lt;&gt;1,C86&lt;&gt;1),"CHECK_IDS",IFERROR(IF(AND(_xlfn.XLOOKUP($A86&amp;"|"&amp;$B$3,'Evaluation Log'!$AJ$2:$AJ$501,'Evaluation Log'!$AL$2:$AL$501,"MISSING",0)="YES",_xlfn.XLOOKUP($A86&amp;"|"&amp;$B$3,'Evaluation Log'!$AJ$2:$AJ$501,'Evaluation Log'!$P$2:$P$501,"MISSING",0)=$B$6,_xlfn.XLOOKUP($A86&amp;"|"&amp;$B$3,'Evaluation Log'!$AJ$2:$AJ$501,'Evaluation Log'!$D$2:$D$501,"MISSING",0)=$B$5),_xlfn.XLOOKUP($A86&amp;"|"&amp;$B$3,'Evaluation Log'!$AJ$2:$AJ$501,'Evaluation Log'!$L$2:$L$501,"MISSING",0),"NOT_REVIEWED"),"MISSING")))</x:f>
      </x:c>
      <x:c r="E86" s="3" t="str">
        <x:f>IF(A86="","",IF(OR(B86&lt;&gt;1,C86&lt;&gt;1),"CHECK_IDS",IFERROR(IF(AND(_xlfn.XLOOKUP($A86&amp;"|"&amp;$B$4,'Evaluation Log'!$AJ$2:$AJ$501,'Evaluation Log'!$AL$2:$AL$501,"MISSING",0)="YES",_xlfn.XLOOKUP($A86&amp;"|"&amp;$B$4,'Evaluation Log'!$AJ$2:$AJ$501,'Evaluation Log'!$P$2:$P$501,"MISSING",0)=$B$6,_xlfn.XLOOKUP($A86&amp;"|"&amp;$B$4,'Evaluation Log'!$AJ$2:$AJ$501,'Evaluation Log'!$D$2:$D$501,"MISSING",0)=$B$5),_xlfn.XLOOKUP($A86&amp;"|"&amp;$B$4,'Evaluation Log'!$AJ$2:$AJ$501,'Evaluation Log'!$L$2:$L$501,"MISSING",0),"NOT_REVIEWED"),"MISSING")))</x:f>
      </x:c>
      <x:c r="F86" s="3" t="str">
        <x:f>IF(A86="","",IF(OR(B86&lt;&gt;1,C86&lt;&gt;1),"MISSING",IFERROR(IF(_xlfn.XLOOKUP($A86&amp;"|"&amp;$B$3,'Evaluation Log'!$AJ$2:$AJ$501,'Evaluation Log'!$AN$2:$AN$501,"MISSING",0)=_xlfn.XLOOKUP($A86&amp;"|"&amp;$B$4,'Evaluation Log'!$AJ$2:$AJ$501,'Evaluation Log'!$AN$2:$AN$501,"MISSING",0),"YES","NO"),"MISSING")))</x:f>
      </x:c>
      <x:c r="G86" s="3" t="str">
        <x:f>IF(A86="","",IF(OR(B86&lt;&gt;1,C86&lt;&gt;1),"MISSING",IFERROR(IF(_xlfn.XLOOKUP($A86&amp;"|"&amp;$B$3,'Evaluation Log'!$AJ$2:$AJ$501,'Evaluation Log'!$K$2:$K$501,"MISSING",0)=_xlfn.XLOOKUP($A86&amp;"|"&amp;$B$4,'Evaluation Log'!$AJ$2:$AJ$501,'Evaluation Log'!$K$2:$K$501,"MISSING",0),"NO","YES"),"MISSING")))</x:f>
      </x:c>
      <x:c r="H86" s="3" t="str">
        <x:f>IF(A86="","",IF(OR(B86&lt;&gt;1,C86&lt;&gt;1),"CHECK_IDS",IF(F86&lt;&gt;"YES","CHANGED_BRIEF",IF(OR(AND(D86&lt;&gt;"PASS",D86&lt;&gt;"FAIL"),AND(E86&lt;&gt;"PASS",E86&lt;&gt;"FAIL")),"NOT_REVIEWED",IF(G86&lt;&gt;"YES","UNCHANGED_POST",D86&amp;"_TO_"&amp;E86)))))</x:f>
      </x:c>
      <x:c r="I86" s="3" t="str"/>
    </x:row>
    <x:row r="87" ht="33" customHeight="1">
      <x:c r="A87" s="3" t="str"/>
      <x:c r="B87" s="3" t="str">
        <x:f>IF(A87="","",COUNTIFS('Evaluation Log'!$A$2:$A$501,$A87,'Evaluation Log'!$B$2:$B$501,$B$3))</x:f>
      </x:c>
      <x:c r="C87" s="3" t="str">
        <x:f>IF(A87="","",COUNTIFS('Evaluation Log'!$A$2:$A$501,$A87,'Evaluation Log'!$B$2:$B$501,$B$4))</x:f>
      </x:c>
      <x:c r="D87" s="3" t="str">
        <x:f>IF(A87="","",IF(OR(B87&lt;&gt;1,C87&lt;&gt;1),"CHECK_IDS",IFERROR(IF(AND(_xlfn.XLOOKUP($A87&amp;"|"&amp;$B$3,'Evaluation Log'!$AJ$2:$AJ$501,'Evaluation Log'!$AL$2:$AL$501,"MISSING",0)="YES",_xlfn.XLOOKUP($A87&amp;"|"&amp;$B$3,'Evaluation Log'!$AJ$2:$AJ$501,'Evaluation Log'!$P$2:$P$501,"MISSING",0)=$B$6,_xlfn.XLOOKUP($A87&amp;"|"&amp;$B$3,'Evaluation Log'!$AJ$2:$AJ$501,'Evaluation Log'!$D$2:$D$501,"MISSING",0)=$B$5),_xlfn.XLOOKUP($A87&amp;"|"&amp;$B$3,'Evaluation Log'!$AJ$2:$AJ$501,'Evaluation Log'!$L$2:$L$501,"MISSING",0),"NOT_REVIEWED"),"MISSING")))</x:f>
      </x:c>
      <x:c r="E87" s="3" t="str">
        <x:f>IF(A87="","",IF(OR(B87&lt;&gt;1,C87&lt;&gt;1),"CHECK_IDS",IFERROR(IF(AND(_xlfn.XLOOKUP($A87&amp;"|"&amp;$B$4,'Evaluation Log'!$AJ$2:$AJ$501,'Evaluation Log'!$AL$2:$AL$501,"MISSING",0)="YES",_xlfn.XLOOKUP($A87&amp;"|"&amp;$B$4,'Evaluation Log'!$AJ$2:$AJ$501,'Evaluation Log'!$P$2:$P$501,"MISSING",0)=$B$6,_xlfn.XLOOKUP($A87&amp;"|"&amp;$B$4,'Evaluation Log'!$AJ$2:$AJ$501,'Evaluation Log'!$D$2:$D$501,"MISSING",0)=$B$5),_xlfn.XLOOKUP($A87&amp;"|"&amp;$B$4,'Evaluation Log'!$AJ$2:$AJ$501,'Evaluation Log'!$L$2:$L$501,"MISSING",0),"NOT_REVIEWED"),"MISSING")))</x:f>
      </x:c>
      <x:c r="F87" s="3" t="str">
        <x:f>IF(A87="","",IF(OR(B87&lt;&gt;1,C87&lt;&gt;1),"MISSING",IFERROR(IF(_xlfn.XLOOKUP($A87&amp;"|"&amp;$B$3,'Evaluation Log'!$AJ$2:$AJ$501,'Evaluation Log'!$AN$2:$AN$501,"MISSING",0)=_xlfn.XLOOKUP($A87&amp;"|"&amp;$B$4,'Evaluation Log'!$AJ$2:$AJ$501,'Evaluation Log'!$AN$2:$AN$501,"MISSING",0),"YES","NO"),"MISSING")))</x:f>
      </x:c>
      <x:c r="G87" s="3" t="str">
        <x:f>IF(A87="","",IF(OR(B87&lt;&gt;1,C87&lt;&gt;1),"MISSING",IFERROR(IF(_xlfn.XLOOKUP($A87&amp;"|"&amp;$B$3,'Evaluation Log'!$AJ$2:$AJ$501,'Evaluation Log'!$K$2:$K$501,"MISSING",0)=_xlfn.XLOOKUP($A87&amp;"|"&amp;$B$4,'Evaluation Log'!$AJ$2:$AJ$501,'Evaluation Log'!$K$2:$K$501,"MISSING",0),"NO","YES"),"MISSING")))</x:f>
      </x:c>
      <x:c r="H87" s="3" t="str">
        <x:f>IF(A87="","",IF(OR(B87&lt;&gt;1,C87&lt;&gt;1),"CHECK_IDS",IF(F87&lt;&gt;"YES","CHANGED_BRIEF",IF(OR(AND(D87&lt;&gt;"PASS",D87&lt;&gt;"FAIL"),AND(E87&lt;&gt;"PASS",E87&lt;&gt;"FAIL")),"NOT_REVIEWED",IF(G87&lt;&gt;"YES","UNCHANGED_POST",D87&amp;"_TO_"&amp;E87)))))</x:f>
      </x:c>
      <x:c r="I87" s="3" t="str"/>
    </x:row>
    <x:row r="88" ht="33" customHeight="1">
      <x:c r="A88" s="3" t="str"/>
      <x:c r="B88" s="3" t="str">
        <x:f>IF(A88="","",COUNTIFS('Evaluation Log'!$A$2:$A$501,$A88,'Evaluation Log'!$B$2:$B$501,$B$3))</x:f>
      </x:c>
      <x:c r="C88" s="3" t="str">
        <x:f>IF(A88="","",COUNTIFS('Evaluation Log'!$A$2:$A$501,$A88,'Evaluation Log'!$B$2:$B$501,$B$4))</x:f>
      </x:c>
      <x:c r="D88" s="3" t="str">
        <x:f>IF(A88="","",IF(OR(B88&lt;&gt;1,C88&lt;&gt;1),"CHECK_IDS",IFERROR(IF(AND(_xlfn.XLOOKUP($A88&amp;"|"&amp;$B$3,'Evaluation Log'!$AJ$2:$AJ$501,'Evaluation Log'!$AL$2:$AL$501,"MISSING",0)="YES",_xlfn.XLOOKUP($A88&amp;"|"&amp;$B$3,'Evaluation Log'!$AJ$2:$AJ$501,'Evaluation Log'!$P$2:$P$501,"MISSING",0)=$B$6,_xlfn.XLOOKUP($A88&amp;"|"&amp;$B$3,'Evaluation Log'!$AJ$2:$AJ$501,'Evaluation Log'!$D$2:$D$501,"MISSING",0)=$B$5),_xlfn.XLOOKUP($A88&amp;"|"&amp;$B$3,'Evaluation Log'!$AJ$2:$AJ$501,'Evaluation Log'!$L$2:$L$501,"MISSING",0),"NOT_REVIEWED"),"MISSING")))</x:f>
      </x:c>
      <x:c r="E88" s="3" t="str">
        <x:f>IF(A88="","",IF(OR(B88&lt;&gt;1,C88&lt;&gt;1),"CHECK_IDS",IFERROR(IF(AND(_xlfn.XLOOKUP($A88&amp;"|"&amp;$B$4,'Evaluation Log'!$AJ$2:$AJ$501,'Evaluation Log'!$AL$2:$AL$501,"MISSING",0)="YES",_xlfn.XLOOKUP($A88&amp;"|"&amp;$B$4,'Evaluation Log'!$AJ$2:$AJ$501,'Evaluation Log'!$P$2:$P$501,"MISSING",0)=$B$6,_xlfn.XLOOKUP($A88&amp;"|"&amp;$B$4,'Evaluation Log'!$AJ$2:$AJ$501,'Evaluation Log'!$D$2:$D$501,"MISSING",0)=$B$5),_xlfn.XLOOKUP($A88&amp;"|"&amp;$B$4,'Evaluation Log'!$AJ$2:$AJ$501,'Evaluation Log'!$L$2:$L$501,"MISSING",0),"NOT_REVIEWED"),"MISSING")))</x:f>
      </x:c>
      <x:c r="F88" s="3" t="str">
        <x:f>IF(A88="","",IF(OR(B88&lt;&gt;1,C88&lt;&gt;1),"MISSING",IFERROR(IF(_xlfn.XLOOKUP($A88&amp;"|"&amp;$B$3,'Evaluation Log'!$AJ$2:$AJ$501,'Evaluation Log'!$AN$2:$AN$501,"MISSING",0)=_xlfn.XLOOKUP($A88&amp;"|"&amp;$B$4,'Evaluation Log'!$AJ$2:$AJ$501,'Evaluation Log'!$AN$2:$AN$501,"MISSING",0),"YES","NO"),"MISSING")))</x:f>
      </x:c>
      <x:c r="G88" s="3" t="str">
        <x:f>IF(A88="","",IF(OR(B88&lt;&gt;1,C88&lt;&gt;1),"MISSING",IFERROR(IF(_xlfn.XLOOKUP($A88&amp;"|"&amp;$B$3,'Evaluation Log'!$AJ$2:$AJ$501,'Evaluation Log'!$K$2:$K$501,"MISSING",0)=_xlfn.XLOOKUP($A88&amp;"|"&amp;$B$4,'Evaluation Log'!$AJ$2:$AJ$501,'Evaluation Log'!$K$2:$K$501,"MISSING",0),"NO","YES"),"MISSING")))</x:f>
      </x:c>
      <x:c r="H88" s="3" t="str">
        <x:f>IF(A88="","",IF(OR(B88&lt;&gt;1,C88&lt;&gt;1),"CHECK_IDS",IF(F88&lt;&gt;"YES","CHANGED_BRIEF",IF(OR(AND(D88&lt;&gt;"PASS",D88&lt;&gt;"FAIL"),AND(E88&lt;&gt;"PASS",E88&lt;&gt;"FAIL")),"NOT_REVIEWED",IF(G88&lt;&gt;"YES","UNCHANGED_POST",D88&amp;"_TO_"&amp;E88)))))</x:f>
      </x:c>
      <x:c r="I88" s="3" t="str"/>
    </x:row>
    <x:row r="89" ht="33" customHeight="1">
      <x:c r="A89" s="3" t="str"/>
      <x:c r="B89" s="3" t="str">
        <x:f>IF(A89="","",COUNTIFS('Evaluation Log'!$A$2:$A$501,$A89,'Evaluation Log'!$B$2:$B$501,$B$3))</x:f>
      </x:c>
      <x:c r="C89" s="3" t="str">
        <x:f>IF(A89="","",COUNTIFS('Evaluation Log'!$A$2:$A$501,$A89,'Evaluation Log'!$B$2:$B$501,$B$4))</x:f>
      </x:c>
      <x:c r="D89" s="3" t="str">
        <x:f>IF(A89="","",IF(OR(B89&lt;&gt;1,C89&lt;&gt;1),"CHECK_IDS",IFERROR(IF(AND(_xlfn.XLOOKUP($A89&amp;"|"&amp;$B$3,'Evaluation Log'!$AJ$2:$AJ$501,'Evaluation Log'!$AL$2:$AL$501,"MISSING",0)="YES",_xlfn.XLOOKUP($A89&amp;"|"&amp;$B$3,'Evaluation Log'!$AJ$2:$AJ$501,'Evaluation Log'!$P$2:$P$501,"MISSING",0)=$B$6,_xlfn.XLOOKUP($A89&amp;"|"&amp;$B$3,'Evaluation Log'!$AJ$2:$AJ$501,'Evaluation Log'!$D$2:$D$501,"MISSING",0)=$B$5),_xlfn.XLOOKUP($A89&amp;"|"&amp;$B$3,'Evaluation Log'!$AJ$2:$AJ$501,'Evaluation Log'!$L$2:$L$501,"MISSING",0),"NOT_REVIEWED"),"MISSING")))</x:f>
      </x:c>
      <x:c r="E89" s="3" t="str">
        <x:f>IF(A89="","",IF(OR(B89&lt;&gt;1,C89&lt;&gt;1),"CHECK_IDS",IFERROR(IF(AND(_xlfn.XLOOKUP($A89&amp;"|"&amp;$B$4,'Evaluation Log'!$AJ$2:$AJ$501,'Evaluation Log'!$AL$2:$AL$501,"MISSING",0)="YES",_xlfn.XLOOKUP($A89&amp;"|"&amp;$B$4,'Evaluation Log'!$AJ$2:$AJ$501,'Evaluation Log'!$P$2:$P$501,"MISSING",0)=$B$6,_xlfn.XLOOKUP($A89&amp;"|"&amp;$B$4,'Evaluation Log'!$AJ$2:$AJ$501,'Evaluation Log'!$D$2:$D$501,"MISSING",0)=$B$5),_xlfn.XLOOKUP($A89&amp;"|"&amp;$B$4,'Evaluation Log'!$AJ$2:$AJ$501,'Evaluation Log'!$L$2:$L$501,"MISSING",0),"NOT_REVIEWED"),"MISSING")))</x:f>
      </x:c>
      <x:c r="F89" s="3" t="str">
        <x:f>IF(A89="","",IF(OR(B89&lt;&gt;1,C89&lt;&gt;1),"MISSING",IFERROR(IF(_xlfn.XLOOKUP($A89&amp;"|"&amp;$B$3,'Evaluation Log'!$AJ$2:$AJ$501,'Evaluation Log'!$AN$2:$AN$501,"MISSING",0)=_xlfn.XLOOKUP($A89&amp;"|"&amp;$B$4,'Evaluation Log'!$AJ$2:$AJ$501,'Evaluation Log'!$AN$2:$AN$501,"MISSING",0),"YES","NO"),"MISSING")))</x:f>
      </x:c>
      <x:c r="G89" s="3" t="str">
        <x:f>IF(A89="","",IF(OR(B89&lt;&gt;1,C89&lt;&gt;1),"MISSING",IFERROR(IF(_xlfn.XLOOKUP($A89&amp;"|"&amp;$B$3,'Evaluation Log'!$AJ$2:$AJ$501,'Evaluation Log'!$K$2:$K$501,"MISSING",0)=_xlfn.XLOOKUP($A89&amp;"|"&amp;$B$4,'Evaluation Log'!$AJ$2:$AJ$501,'Evaluation Log'!$K$2:$K$501,"MISSING",0),"NO","YES"),"MISSING")))</x:f>
      </x:c>
      <x:c r="H89" s="3" t="str">
        <x:f>IF(A89="","",IF(OR(B89&lt;&gt;1,C89&lt;&gt;1),"CHECK_IDS",IF(F89&lt;&gt;"YES","CHANGED_BRIEF",IF(OR(AND(D89&lt;&gt;"PASS",D89&lt;&gt;"FAIL"),AND(E89&lt;&gt;"PASS",E89&lt;&gt;"FAIL")),"NOT_REVIEWED",IF(G89&lt;&gt;"YES","UNCHANGED_POST",D89&amp;"_TO_"&amp;E89)))))</x:f>
      </x:c>
      <x:c r="I89" s="3" t="str"/>
    </x:row>
    <x:row r="90" ht="33" customHeight="1">
      <x:c r="A90" s="3" t="str"/>
      <x:c r="B90" s="3" t="str">
        <x:f>IF(A90="","",COUNTIFS('Evaluation Log'!$A$2:$A$501,$A90,'Evaluation Log'!$B$2:$B$501,$B$3))</x:f>
      </x:c>
      <x:c r="C90" s="3" t="str">
        <x:f>IF(A90="","",COUNTIFS('Evaluation Log'!$A$2:$A$501,$A90,'Evaluation Log'!$B$2:$B$501,$B$4))</x:f>
      </x:c>
      <x:c r="D90" s="3" t="str">
        <x:f>IF(A90="","",IF(OR(B90&lt;&gt;1,C90&lt;&gt;1),"CHECK_IDS",IFERROR(IF(AND(_xlfn.XLOOKUP($A90&amp;"|"&amp;$B$3,'Evaluation Log'!$AJ$2:$AJ$501,'Evaluation Log'!$AL$2:$AL$501,"MISSING",0)="YES",_xlfn.XLOOKUP($A90&amp;"|"&amp;$B$3,'Evaluation Log'!$AJ$2:$AJ$501,'Evaluation Log'!$P$2:$P$501,"MISSING",0)=$B$6,_xlfn.XLOOKUP($A90&amp;"|"&amp;$B$3,'Evaluation Log'!$AJ$2:$AJ$501,'Evaluation Log'!$D$2:$D$501,"MISSING",0)=$B$5),_xlfn.XLOOKUP($A90&amp;"|"&amp;$B$3,'Evaluation Log'!$AJ$2:$AJ$501,'Evaluation Log'!$L$2:$L$501,"MISSING",0),"NOT_REVIEWED"),"MISSING")))</x:f>
      </x:c>
      <x:c r="E90" s="3" t="str">
        <x:f>IF(A90="","",IF(OR(B90&lt;&gt;1,C90&lt;&gt;1),"CHECK_IDS",IFERROR(IF(AND(_xlfn.XLOOKUP($A90&amp;"|"&amp;$B$4,'Evaluation Log'!$AJ$2:$AJ$501,'Evaluation Log'!$AL$2:$AL$501,"MISSING",0)="YES",_xlfn.XLOOKUP($A90&amp;"|"&amp;$B$4,'Evaluation Log'!$AJ$2:$AJ$501,'Evaluation Log'!$P$2:$P$501,"MISSING",0)=$B$6,_xlfn.XLOOKUP($A90&amp;"|"&amp;$B$4,'Evaluation Log'!$AJ$2:$AJ$501,'Evaluation Log'!$D$2:$D$501,"MISSING",0)=$B$5),_xlfn.XLOOKUP($A90&amp;"|"&amp;$B$4,'Evaluation Log'!$AJ$2:$AJ$501,'Evaluation Log'!$L$2:$L$501,"MISSING",0),"NOT_REVIEWED"),"MISSING")))</x:f>
      </x:c>
      <x:c r="F90" s="3" t="str">
        <x:f>IF(A90="","",IF(OR(B90&lt;&gt;1,C90&lt;&gt;1),"MISSING",IFERROR(IF(_xlfn.XLOOKUP($A90&amp;"|"&amp;$B$3,'Evaluation Log'!$AJ$2:$AJ$501,'Evaluation Log'!$AN$2:$AN$501,"MISSING",0)=_xlfn.XLOOKUP($A90&amp;"|"&amp;$B$4,'Evaluation Log'!$AJ$2:$AJ$501,'Evaluation Log'!$AN$2:$AN$501,"MISSING",0),"YES","NO"),"MISSING")))</x:f>
      </x:c>
      <x:c r="G90" s="3" t="str">
        <x:f>IF(A90="","",IF(OR(B90&lt;&gt;1,C90&lt;&gt;1),"MISSING",IFERROR(IF(_xlfn.XLOOKUP($A90&amp;"|"&amp;$B$3,'Evaluation Log'!$AJ$2:$AJ$501,'Evaluation Log'!$K$2:$K$501,"MISSING",0)=_xlfn.XLOOKUP($A90&amp;"|"&amp;$B$4,'Evaluation Log'!$AJ$2:$AJ$501,'Evaluation Log'!$K$2:$K$501,"MISSING",0),"NO","YES"),"MISSING")))</x:f>
      </x:c>
      <x:c r="H90" s="3" t="str">
        <x:f>IF(A90="","",IF(OR(B90&lt;&gt;1,C90&lt;&gt;1),"CHECK_IDS",IF(F90&lt;&gt;"YES","CHANGED_BRIEF",IF(OR(AND(D90&lt;&gt;"PASS",D90&lt;&gt;"FAIL"),AND(E90&lt;&gt;"PASS",E90&lt;&gt;"FAIL")),"NOT_REVIEWED",IF(G90&lt;&gt;"YES","UNCHANGED_POST",D90&amp;"_TO_"&amp;E90)))))</x:f>
      </x:c>
      <x:c r="I90" s="3" t="str"/>
    </x:row>
    <x:row r="91" ht="33" customHeight="1">
      <x:c r="A91" s="3" t="str"/>
      <x:c r="B91" s="3" t="str">
        <x:f>IF(A91="","",COUNTIFS('Evaluation Log'!$A$2:$A$501,$A91,'Evaluation Log'!$B$2:$B$501,$B$3))</x:f>
      </x:c>
      <x:c r="C91" s="3" t="str">
        <x:f>IF(A91="","",COUNTIFS('Evaluation Log'!$A$2:$A$501,$A91,'Evaluation Log'!$B$2:$B$501,$B$4))</x:f>
      </x:c>
      <x:c r="D91" s="3" t="str">
        <x:f>IF(A91="","",IF(OR(B91&lt;&gt;1,C91&lt;&gt;1),"CHECK_IDS",IFERROR(IF(AND(_xlfn.XLOOKUP($A91&amp;"|"&amp;$B$3,'Evaluation Log'!$AJ$2:$AJ$501,'Evaluation Log'!$AL$2:$AL$501,"MISSING",0)="YES",_xlfn.XLOOKUP($A91&amp;"|"&amp;$B$3,'Evaluation Log'!$AJ$2:$AJ$501,'Evaluation Log'!$P$2:$P$501,"MISSING",0)=$B$6,_xlfn.XLOOKUP($A91&amp;"|"&amp;$B$3,'Evaluation Log'!$AJ$2:$AJ$501,'Evaluation Log'!$D$2:$D$501,"MISSING",0)=$B$5),_xlfn.XLOOKUP($A91&amp;"|"&amp;$B$3,'Evaluation Log'!$AJ$2:$AJ$501,'Evaluation Log'!$L$2:$L$501,"MISSING",0),"NOT_REVIEWED"),"MISSING")))</x:f>
      </x:c>
      <x:c r="E91" s="3" t="str">
        <x:f>IF(A91="","",IF(OR(B91&lt;&gt;1,C91&lt;&gt;1),"CHECK_IDS",IFERROR(IF(AND(_xlfn.XLOOKUP($A91&amp;"|"&amp;$B$4,'Evaluation Log'!$AJ$2:$AJ$501,'Evaluation Log'!$AL$2:$AL$501,"MISSING",0)="YES",_xlfn.XLOOKUP($A91&amp;"|"&amp;$B$4,'Evaluation Log'!$AJ$2:$AJ$501,'Evaluation Log'!$P$2:$P$501,"MISSING",0)=$B$6,_xlfn.XLOOKUP($A91&amp;"|"&amp;$B$4,'Evaluation Log'!$AJ$2:$AJ$501,'Evaluation Log'!$D$2:$D$501,"MISSING",0)=$B$5),_xlfn.XLOOKUP($A91&amp;"|"&amp;$B$4,'Evaluation Log'!$AJ$2:$AJ$501,'Evaluation Log'!$L$2:$L$501,"MISSING",0),"NOT_REVIEWED"),"MISSING")))</x:f>
      </x:c>
      <x:c r="F91" s="3" t="str">
        <x:f>IF(A91="","",IF(OR(B91&lt;&gt;1,C91&lt;&gt;1),"MISSING",IFERROR(IF(_xlfn.XLOOKUP($A91&amp;"|"&amp;$B$3,'Evaluation Log'!$AJ$2:$AJ$501,'Evaluation Log'!$AN$2:$AN$501,"MISSING",0)=_xlfn.XLOOKUP($A91&amp;"|"&amp;$B$4,'Evaluation Log'!$AJ$2:$AJ$501,'Evaluation Log'!$AN$2:$AN$501,"MISSING",0),"YES","NO"),"MISSING")))</x:f>
      </x:c>
      <x:c r="G91" s="3" t="str">
        <x:f>IF(A91="","",IF(OR(B91&lt;&gt;1,C91&lt;&gt;1),"MISSING",IFERROR(IF(_xlfn.XLOOKUP($A91&amp;"|"&amp;$B$3,'Evaluation Log'!$AJ$2:$AJ$501,'Evaluation Log'!$K$2:$K$501,"MISSING",0)=_xlfn.XLOOKUP($A91&amp;"|"&amp;$B$4,'Evaluation Log'!$AJ$2:$AJ$501,'Evaluation Log'!$K$2:$K$501,"MISSING",0),"NO","YES"),"MISSING")))</x:f>
      </x:c>
      <x:c r="H91" s="3" t="str">
        <x:f>IF(A91="","",IF(OR(B91&lt;&gt;1,C91&lt;&gt;1),"CHECK_IDS",IF(F91&lt;&gt;"YES","CHANGED_BRIEF",IF(OR(AND(D91&lt;&gt;"PASS",D91&lt;&gt;"FAIL"),AND(E91&lt;&gt;"PASS",E91&lt;&gt;"FAIL")),"NOT_REVIEWED",IF(G91&lt;&gt;"YES","UNCHANGED_POST",D91&amp;"_TO_"&amp;E91)))))</x:f>
      </x:c>
      <x:c r="I91" s="3" t="str"/>
    </x:row>
    <x:row r="92" ht="33" customHeight="1">
      <x:c r="A92" s="3" t="str"/>
      <x:c r="B92" s="3" t="str">
        <x:f>IF(A92="","",COUNTIFS('Evaluation Log'!$A$2:$A$501,$A92,'Evaluation Log'!$B$2:$B$501,$B$3))</x:f>
      </x:c>
      <x:c r="C92" s="3" t="str">
        <x:f>IF(A92="","",COUNTIFS('Evaluation Log'!$A$2:$A$501,$A92,'Evaluation Log'!$B$2:$B$501,$B$4))</x:f>
      </x:c>
      <x:c r="D92" s="3" t="str">
        <x:f>IF(A92="","",IF(OR(B92&lt;&gt;1,C92&lt;&gt;1),"CHECK_IDS",IFERROR(IF(AND(_xlfn.XLOOKUP($A92&amp;"|"&amp;$B$3,'Evaluation Log'!$AJ$2:$AJ$501,'Evaluation Log'!$AL$2:$AL$501,"MISSING",0)="YES",_xlfn.XLOOKUP($A92&amp;"|"&amp;$B$3,'Evaluation Log'!$AJ$2:$AJ$501,'Evaluation Log'!$P$2:$P$501,"MISSING",0)=$B$6,_xlfn.XLOOKUP($A92&amp;"|"&amp;$B$3,'Evaluation Log'!$AJ$2:$AJ$501,'Evaluation Log'!$D$2:$D$501,"MISSING",0)=$B$5),_xlfn.XLOOKUP($A92&amp;"|"&amp;$B$3,'Evaluation Log'!$AJ$2:$AJ$501,'Evaluation Log'!$L$2:$L$501,"MISSING",0),"NOT_REVIEWED"),"MISSING")))</x:f>
      </x:c>
      <x:c r="E92" s="3" t="str">
        <x:f>IF(A92="","",IF(OR(B92&lt;&gt;1,C92&lt;&gt;1),"CHECK_IDS",IFERROR(IF(AND(_xlfn.XLOOKUP($A92&amp;"|"&amp;$B$4,'Evaluation Log'!$AJ$2:$AJ$501,'Evaluation Log'!$AL$2:$AL$501,"MISSING",0)="YES",_xlfn.XLOOKUP($A92&amp;"|"&amp;$B$4,'Evaluation Log'!$AJ$2:$AJ$501,'Evaluation Log'!$P$2:$P$501,"MISSING",0)=$B$6,_xlfn.XLOOKUP($A92&amp;"|"&amp;$B$4,'Evaluation Log'!$AJ$2:$AJ$501,'Evaluation Log'!$D$2:$D$501,"MISSING",0)=$B$5),_xlfn.XLOOKUP($A92&amp;"|"&amp;$B$4,'Evaluation Log'!$AJ$2:$AJ$501,'Evaluation Log'!$L$2:$L$501,"MISSING",0),"NOT_REVIEWED"),"MISSING")))</x:f>
      </x:c>
      <x:c r="F92" s="3" t="str">
        <x:f>IF(A92="","",IF(OR(B92&lt;&gt;1,C92&lt;&gt;1),"MISSING",IFERROR(IF(_xlfn.XLOOKUP($A92&amp;"|"&amp;$B$3,'Evaluation Log'!$AJ$2:$AJ$501,'Evaluation Log'!$AN$2:$AN$501,"MISSING",0)=_xlfn.XLOOKUP($A92&amp;"|"&amp;$B$4,'Evaluation Log'!$AJ$2:$AJ$501,'Evaluation Log'!$AN$2:$AN$501,"MISSING",0),"YES","NO"),"MISSING")))</x:f>
      </x:c>
      <x:c r="G92" s="3" t="str">
        <x:f>IF(A92="","",IF(OR(B92&lt;&gt;1,C92&lt;&gt;1),"MISSING",IFERROR(IF(_xlfn.XLOOKUP($A92&amp;"|"&amp;$B$3,'Evaluation Log'!$AJ$2:$AJ$501,'Evaluation Log'!$K$2:$K$501,"MISSING",0)=_xlfn.XLOOKUP($A92&amp;"|"&amp;$B$4,'Evaluation Log'!$AJ$2:$AJ$501,'Evaluation Log'!$K$2:$K$501,"MISSING",0),"NO","YES"),"MISSING")))</x:f>
      </x:c>
      <x:c r="H92" s="3" t="str">
        <x:f>IF(A92="","",IF(OR(B92&lt;&gt;1,C92&lt;&gt;1),"CHECK_IDS",IF(F92&lt;&gt;"YES","CHANGED_BRIEF",IF(OR(AND(D92&lt;&gt;"PASS",D92&lt;&gt;"FAIL"),AND(E92&lt;&gt;"PASS",E92&lt;&gt;"FAIL")),"NOT_REVIEWED",IF(G92&lt;&gt;"YES","UNCHANGED_POST",D92&amp;"_TO_"&amp;E92)))))</x:f>
      </x:c>
      <x:c r="I92" s="3" t="str"/>
    </x:row>
    <x:row r="93" ht="33" customHeight="1">
      <x:c r="A93" s="3" t="str"/>
      <x:c r="B93" s="3" t="str">
        <x:f>IF(A93="","",COUNTIFS('Evaluation Log'!$A$2:$A$501,$A93,'Evaluation Log'!$B$2:$B$501,$B$3))</x:f>
      </x:c>
      <x:c r="C93" s="3" t="str">
        <x:f>IF(A93="","",COUNTIFS('Evaluation Log'!$A$2:$A$501,$A93,'Evaluation Log'!$B$2:$B$501,$B$4))</x:f>
      </x:c>
      <x:c r="D93" s="3" t="str">
        <x:f>IF(A93="","",IF(OR(B93&lt;&gt;1,C93&lt;&gt;1),"CHECK_IDS",IFERROR(IF(AND(_xlfn.XLOOKUP($A93&amp;"|"&amp;$B$3,'Evaluation Log'!$AJ$2:$AJ$501,'Evaluation Log'!$AL$2:$AL$501,"MISSING",0)="YES",_xlfn.XLOOKUP($A93&amp;"|"&amp;$B$3,'Evaluation Log'!$AJ$2:$AJ$501,'Evaluation Log'!$P$2:$P$501,"MISSING",0)=$B$6,_xlfn.XLOOKUP($A93&amp;"|"&amp;$B$3,'Evaluation Log'!$AJ$2:$AJ$501,'Evaluation Log'!$D$2:$D$501,"MISSING",0)=$B$5),_xlfn.XLOOKUP($A93&amp;"|"&amp;$B$3,'Evaluation Log'!$AJ$2:$AJ$501,'Evaluation Log'!$L$2:$L$501,"MISSING",0),"NOT_REVIEWED"),"MISSING")))</x:f>
      </x:c>
      <x:c r="E93" s="3" t="str">
        <x:f>IF(A93="","",IF(OR(B93&lt;&gt;1,C93&lt;&gt;1),"CHECK_IDS",IFERROR(IF(AND(_xlfn.XLOOKUP($A93&amp;"|"&amp;$B$4,'Evaluation Log'!$AJ$2:$AJ$501,'Evaluation Log'!$AL$2:$AL$501,"MISSING",0)="YES",_xlfn.XLOOKUP($A93&amp;"|"&amp;$B$4,'Evaluation Log'!$AJ$2:$AJ$501,'Evaluation Log'!$P$2:$P$501,"MISSING",0)=$B$6,_xlfn.XLOOKUP($A93&amp;"|"&amp;$B$4,'Evaluation Log'!$AJ$2:$AJ$501,'Evaluation Log'!$D$2:$D$501,"MISSING",0)=$B$5),_xlfn.XLOOKUP($A93&amp;"|"&amp;$B$4,'Evaluation Log'!$AJ$2:$AJ$501,'Evaluation Log'!$L$2:$L$501,"MISSING",0),"NOT_REVIEWED"),"MISSING")))</x:f>
      </x:c>
      <x:c r="F93" s="3" t="str">
        <x:f>IF(A93="","",IF(OR(B93&lt;&gt;1,C93&lt;&gt;1),"MISSING",IFERROR(IF(_xlfn.XLOOKUP($A93&amp;"|"&amp;$B$3,'Evaluation Log'!$AJ$2:$AJ$501,'Evaluation Log'!$AN$2:$AN$501,"MISSING",0)=_xlfn.XLOOKUP($A93&amp;"|"&amp;$B$4,'Evaluation Log'!$AJ$2:$AJ$501,'Evaluation Log'!$AN$2:$AN$501,"MISSING",0),"YES","NO"),"MISSING")))</x:f>
      </x:c>
      <x:c r="G93" s="3" t="str">
        <x:f>IF(A93="","",IF(OR(B93&lt;&gt;1,C93&lt;&gt;1),"MISSING",IFERROR(IF(_xlfn.XLOOKUP($A93&amp;"|"&amp;$B$3,'Evaluation Log'!$AJ$2:$AJ$501,'Evaluation Log'!$K$2:$K$501,"MISSING",0)=_xlfn.XLOOKUP($A93&amp;"|"&amp;$B$4,'Evaluation Log'!$AJ$2:$AJ$501,'Evaluation Log'!$K$2:$K$501,"MISSING",0),"NO","YES"),"MISSING")))</x:f>
      </x:c>
      <x:c r="H93" s="3" t="str">
        <x:f>IF(A93="","",IF(OR(B93&lt;&gt;1,C93&lt;&gt;1),"CHECK_IDS",IF(F93&lt;&gt;"YES","CHANGED_BRIEF",IF(OR(AND(D93&lt;&gt;"PASS",D93&lt;&gt;"FAIL"),AND(E93&lt;&gt;"PASS",E93&lt;&gt;"FAIL")),"NOT_REVIEWED",IF(G93&lt;&gt;"YES","UNCHANGED_POST",D93&amp;"_TO_"&amp;E93)))))</x:f>
      </x:c>
      <x:c r="I93" s="3" t="str"/>
    </x:row>
    <x:row r="94" ht="33" customHeight="1">
      <x:c r="A94" s="3" t="str"/>
      <x:c r="B94" s="3" t="str">
        <x:f>IF(A94="","",COUNTIFS('Evaluation Log'!$A$2:$A$501,$A94,'Evaluation Log'!$B$2:$B$501,$B$3))</x:f>
      </x:c>
      <x:c r="C94" s="3" t="str">
        <x:f>IF(A94="","",COUNTIFS('Evaluation Log'!$A$2:$A$501,$A94,'Evaluation Log'!$B$2:$B$501,$B$4))</x:f>
      </x:c>
      <x:c r="D94" s="3" t="str">
        <x:f>IF(A94="","",IF(OR(B94&lt;&gt;1,C94&lt;&gt;1),"CHECK_IDS",IFERROR(IF(AND(_xlfn.XLOOKUP($A94&amp;"|"&amp;$B$3,'Evaluation Log'!$AJ$2:$AJ$501,'Evaluation Log'!$AL$2:$AL$501,"MISSING",0)="YES",_xlfn.XLOOKUP($A94&amp;"|"&amp;$B$3,'Evaluation Log'!$AJ$2:$AJ$501,'Evaluation Log'!$P$2:$P$501,"MISSING",0)=$B$6,_xlfn.XLOOKUP($A94&amp;"|"&amp;$B$3,'Evaluation Log'!$AJ$2:$AJ$501,'Evaluation Log'!$D$2:$D$501,"MISSING",0)=$B$5),_xlfn.XLOOKUP($A94&amp;"|"&amp;$B$3,'Evaluation Log'!$AJ$2:$AJ$501,'Evaluation Log'!$L$2:$L$501,"MISSING",0),"NOT_REVIEWED"),"MISSING")))</x:f>
      </x:c>
      <x:c r="E94" s="3" t="str">
        <x:f>IF(A94="","",IF(OR(B94&lt;&gt;1,C94&lt;&gt;1),"CHECK_IDS",IFERROR(IF(AND(_xlfn.XLOOKUP($A94&amp;"|"&amp;$B$4,'Evaluation Log'!$AJ$2:$AJ$501,'Evaluation Log'!$AL$2:$AL$501,"MISSING",0)="YES",_xlfn.XLOOKUP($A94&amp;"|"&amp;$B$4,'Evaluation Log'!$AJ$2:$AJ$501,'Evaluation Log'!$P$2:$P$501,"MISSING",0)=$B$6,_xlfn.XLOOKUP($A94&amp;"|"&amp;$B$4,'Evaluation Log'!$AJ$2:$AJ$501,'Evaluation Log'!$D$2:$D$501,"MISSING",0)=$B$5),_xlfn.XLOOKUP($A94&amp;"|"&amp;$B$4,'Evaluation Log'!$AJ$2:$AJ$501,'Evaluation Log'!$L$2:$L$501,"MISSING",0),"NOT_REVIEWED"),"MISSING")))</x:f>
      </x:c>
      <x:c r="F94" s="3" t="str">
        <x:f>IF(A94="","",IF(OR(B94&lt;&gt;1,C94&lt;&gt;1),"MISSING",IFERROR(IF(_xlfn.XLOOKUP($A94&amp;"|"&amp;$B$3,'Evaluation Log'!$AJ$2:$AJ$501,'Evaluation Log'!$AN$2:$AN$501,"MISSING",0)=_xlfn.XLOOKUP($A94&amp;"|"&amp;$B$4,'Evaluation Log'!$AJ$2:$AJ$501,'Evaluation Log'!$AN$2:$AN$501,"MISSING",0),"YES","NO"),"MISSING")))</x:f>
      </x:c>
      <x:c r="G94" s="3" t="str">
        <x:f>IF(A94="","",IF(OR(B94&lt;&gt;1,C94&lt;&gt;1),"MISSING",IFERROR(IF(_xlfn.XLOOKUP($A94&amp;"|"&amp;$B$3,'Evaluation Log'!$AJ$2:$AJ$501,'Evaluation Log'!$K$2:$K$501,"MISSING",0)=_xlfn.XLOOKUP($A94&amp;"|"&amp;$B$4,'Evaluation Log'!$AJ$2:$AJ$501,'Evaluation Log'!$K$2:$K$501,"MISSING",0),"NO","YES"),"MISSING")))</x:f>
      </x:c>
      <x:c r="H94" s="3" t="str">
        <x:f>IF(A94="","",IF(OR(B94&lt;&gt;1,C94&lt;&gt;1),"CHECK_IDS",IF(F94&lt;&gt;"YES","CHANGED_BRIEF",IF(OR(AND(D94&lt;&gt;"PASS",D94&lt;&gt;"FAIL"),AND(E94&lt;&gt;"PASS",E94&lt;&gt;"FAIL")),"NOT_REVIEWED",IF(G94&lt;&gt;"YES","UNCHANGED_POST",D94&amp;"_TO_"&amp;E94)))))</x:f>
      </x:c>
      <x:c r="I94" s="3" t="str"/>
    </x:row>
    <x:row r="95" ht="33" customHeight="1">
      <x:c r="A95" s="3" t="str"/>
      <x:c r="B95" s="3" t="str">
        <x:f>IF(A95="","",COUNTIFS('Evaluation Log'!$A$2:$A$501,$A95,'Evaluation Log'!$B$2:$B$501,$B$3))</x:f>
      </x:c>
      <x:c r="C95" s="3" t="str">
        <x:f>IF(A95="","",COUNTIFS('Evaluation Log'!$A$2:$A$501,$A95,'Evaluation Log'!$B$2:$B$501,$B$4))</x:f>
      </x:c>
      <x:c r="D95" s="3" t="str">
        <x:f>IF(A95="","",IF(OR(B95&lt;&gt;1,C95&lt;&gt;1),"CHECK_IDS",IFERROR(IF(AND(_xlfn.XLOOKUP($A95&amp;"|"&amp;$B$3,'Evaluation Log'!$AJ$2:$AJ$501,'Evaluation Log'!$AL$2:$AL$501,"MISSING",0)="YES",_xlfn.XLOOKUP($A95&amp;"|"&amp;$B$3,'Evaluation Log'!$AJ$2:$AJ$501,'Evaluation Log'!$P$2:$P$501,"MISSING",0)=$B$6,_xlfn.XLOOKUP($A95&amp;"|"&amp;$B$3,'Evaluation Log'!$AJ$2:$AJ$501,'Evaluation Log'!$D$2:$D$501,"MISSING",0)=$B$5),_xlfn.XLOOKUP($A95&amp;"|"&amp;$B$3,'Evaluation Log'!$AJ$2:$AJ$501,'Evaluation Log'!$L$2:$L$501,"MISSING",0),"NOT_REVIEWED"),"MISSING")))</x:f>
      </x:c>
      <x:c r="E95" s="3" t="str">
        <x:f>IF(A95="","",IF(OR(B95&lt;&gt;1,C95&lt;&gt;1),"CHECK_IDS",IFERROR(IF(AND(_xlfn.XLOOKUP($A95&amp;"|"&amp;$B$4,'Evaluation Log'!$AJ$2:$AJ$501,'Evaluation Log'!$AL$2:$AL$501,"MISSING",0)="YES",_xlfn.XLOOKUP($A95&amp;"|"&amp;$B$4,'Evaluation Log'!$AJ$2:$AJ$501,'Evaluation Log'!$P$2:$P$501,"MISSING",0)=$B$6,_xlfn.XLOOKUP($A95&amp;"|"&amp;$B$4,'Evaluation Log'!$AJ$2:$AJ$501,'Evaluation Log'!$D$2:$D$501,"MISSING",0)=$B$5),_xlfn.XLOOKUP($A95&amp;"|"&amp;$B$4,'Evaluation Log'!$AJ$2:$AJ$501,'Evaluation Log'!$L$2:$L$501,"MISSING",0),"NOT_REVIEWED"),"MISSING")))</x:f>
      </x:c>
      <x:c r="F95" s="3" t="str">
        <x:f>IF(A95="","",IF(OR(B95&lt;&gt;1,C95&lt;&gt;1),"MISSING",IFERROR(IF(_xlfn.XLOOKUP($A95&amp;"|"&amp;$B$3,'Evaluation Log'!$AJ$2:$AJ$501,'Evaluation Log'!$AN$2:$AN$501,"MISSING",0)=_xlfn.XLOOKUP($A95&amp;"|"&amp;$B$4,'Evaluation Log'!$AJ$2:$AJ$501,'Evaluation Log'!$AN$2:$AN$501,"MISSING",0),"YES","NO"),"MISSING")))</x:f>
      </x:c>
      <x:c r="G95" s="3" t="str">
        <x:f>IF(A95="","",IF(OR(B95&lt;&gt;1,C95&lt;&gt;1),"MISSING",IFERROR(IF(_xlfn.XLOOKUP($A95&amp;"|"&amp;$B$3,'Evaluation Log'!$AJ$2:$AJ$501,'Evaluation Log'!$K$2:$K$501,"MISSING",0)=_xlfn.XLOOKUP($A95&amp;"|"&amp;$B$4,'Evaluation Log'!$AJ$2:$AJ$501,'Evaluation Log'!$K$2:$K$501,"MISSING",0),"NO","YES"),"MISSING")))</x:f>
      </x:c>
      <x:c r="H95" s="3" t="str">
        <x:f>IF(A95="","",IF(OR(B95&lt;&gt;1,C95&lt;&gt;1),"CHECK_IDS",IF(F95&lt;&gt;"YES","CHANGED_BRIEF",IF(OR(AND(D95&lt;&gt;"PASS",D95&lt;&gt;"FAIL"),AND(E95&lt;&gt;"PASS",E95&lt;&gt;"FAIL")),"NOT_REVIEWED",IF(G95&lt;&gt;"YES","UNCHANGED_POST",D95&amp;"_TO_"&amp;E95)))))</x:f>
      </x:c>
      <x:c r="I95" s="3" t="str"/>
    </x:row>
    <x:row r="96" ht="33" customHeight="1">
      <x:c r="A96" s="3" t="str"/>
      <x:c r="B96" s="3" t="str">
        <x:f>IF(A96="","",COUNTIFS('Evaluation Log'!$A$2:$A$501,$A96,'Evaluation Log'!$B$2:$B$501,$B$3))</x:f>
      </x:c>
      <x:c r="C96" s="3" t="str">
        <x:f>IF(A96="","",COUNTIFS('Evaluation Log'!$A$2:$A$501,$A96,'Evaluation Log'!$B$2:$B$501,$B$4))</x:f>
      </x:c>
      <x:c r="D96" s="3" t="str">
        <x:f>IF(A96="","",IF(OR(B96&lt;&gt;1,C96&lt;&gt;1),"CHECK_IDS",IFERROR(IF(AND(_xlfn.XLOOKUP($A96&amp;"|"&amp;$B$3,'Evaluation Log'!$AJ$2:$AJ$501,'Evaluation Log'!$AL$2:$AL$501,"MISSING",0)="YES",_xlfn.XLOOKUP($A96&amp;"|"&amp;$B$3,'Evaluation Log'!$AJ$2:$AJ$501,'Evaluation Log'!$P$2:$P$501,"MISSING",0)=$B$6,_xlfn.XLOOKUP($A96&amp;"|"&amp;$B$3,'Evaluation Log'!$AJ$2:$AJ$501,'Evaluation Log'!$D$2:$D$501,"MISSING",0)=$B$5),_xlfn.XLOOKUP($A96&amp;"|"&amp;$B$3,'Evaluation Log'!$AJ$2:$AJ$501,'Evaluation Log'!$L$2:$L$501,"MISSING",0),"NOT_REVIEWED"),"MISSING")))</x:f>
      </x:c>
      <x:c r="E96" s="3" t="str">
        <x:f>IF(A96="","",IF(OR(B96&lt;&gt;1,C96&lt;&gt;1),"CHECK_IDS",IFERROR(IF(AND(_xlfn.XLOOKUP($A96&amp;"|"&amp;$B$4,'Evaluation Log'!$AJ$2:$AJ$501,'Evaluation Log'!$AL$2:$AL$501,"MISSING",0)="YES",_xlfn.XLOOKUP($A96&amp;"|"&amp;$B$4,'Evaluation Log'!$AJ$2:$AJ$501,'Evaluation Log'!$P$2:$P$501,"MISSING",0)=$B$6,_xlfn.XLOOKUP($A96&amp;"|"&amp;$B$4,'Evaluation Log'!$AJ$2:$AJ$501,'Evaluation Log'!$D$2:$D$501,"MISSING",0)=$B$5),_xlfn.XLOOKUP($A96&amp;"|"&amp;$B$4,'Evaluation Log'!$AJ$2:$AJ$501,'Evaluation Log'!$L$2:$L$501,"MISSING",0),"NOT_REVIEWED"),"MISSING")))</x:f>
      </x:c>
      <x:c r="F96" s="3" t="str">
        <x:f>IF(A96="","",IF(OR(B96&lt;&gt;1,C96&lt;&gt;1),"MISSING",IFERROR(IF(_xlfn.XLOOKUP($A96&amp;"|"&amp;$B$3,'Evaluation Log'!$AJ$2:$AJ$501,'Evaluation Log'!$AN$2:$AN$501,"MISSING",0)=_xlfn.XLOOKUP($A96&amp;"|"&amp;$B$4,'Evaluation Log'!$AJ$2:$AJ$501,'Evaluation Log'!$AN$2:$AN$501,"MISSING",0),"YES","NO"),"MISSING")))</x:f>
      </x:c>
      <x:c r="G96" s="3" t="str">
        <x:f>IF(A96="","",IF(OR(B96&lt;&gt;1,C96&lt;&gt;1),"MISSING",IFERROR(IF(_xlfn.XLOOKUP($A96&amp;"|"&amp;$B$3,'Evaluation Log'!$AJ$2:$AJ$501,'Evaluation Log'!$K$2:$K$501,"MISSING",0)=_xlfn.XLOOKUP($A96&amp;"|"&amp;$B$4,'Evaluation Log'!$AJ$2:$AJ$501,'Evaluation Log'!$K$2:$K$501,"MISSING",0),"NO","YES"),"MISSING")))</x:f>
      </x:c>
      <x:c r="H96" s="3" t="str">
        <x:f>IF(A96="","",IF(OR(B96&lt;&gt;1,C96&lt;&gt;1),"CHECK_IDS",IF(F96&lt;&gt;"YES","CHANGED_BRIEF",IF(OR(AND(D96&lt;&gt;"PASS",D96&lt;&gt;"FAIL"),AND(E96&lt;&gt;"PASS",E96&lt;&gt;"FAIL")),"NOT_REVIEWED",IF(G96&lt;&gt;"YES","UNCHANGED_POST",D96&amp;"_TO_"&amp;E96)))))</x:f>
      </x:c>
      <x:c r="I96" s="3" t="str"/>
    </x:row>
    <x:row r="97" ht="33" customHeight="1">
      <x:c r="A97" s="3" t="str"/>
      <x:c r="B97" s="3" t="str">
        <x:f>IF(A97="","",COUNTIFS('Evaluation Log'!$A$2:$A$501,$A97,'Evaluation Log'!$B$2:$B$501,$B$3))</x:f>
      </x:c>
      <x:c r="C97" s="3" t="str">
        <x:f>IF(A97="","",COUNTIFS('Evaluation Log'!$A$2:$A$501,$A97,'Evaluation Log'!$B$2:$B$501,$B$4))</x:f>
      </x:c>
      <x:c r="D97" s="3" t="str">
        <x:f>IF(A97="","",IF(OR(B97&lt;&gt;1,C97&lt;&gt;1),"CHECK_IDS",IFERROR(IF(AND(_xlfn.XLOOKUP($A97&amp;"|"&amp;$B$3,'Evaluation Log'!$AJ$2:$AJ$501,'Evaluation Log'!$AL$2:$AL$501,"MISSING",0)="YES",_xlfn.XLOOKUP($A97&amp;"|"&amp;$B$3,'Evaluation Log'!$AJ$2:$AJ$501,'Evaluation Log'!$P$2:$P$501,"MISSING",0)=$B$6,_xlfn.XLOOKUP($A97&amp;"|"&amp;$B$3,'Evaluation Log'!$AJ$2:$AJ$501,'Evaluation Log'!$D$2:$D$501,"MISSING",0)=$B$5),_xlfn.XLOOKUP($A97&amp;"|"&amp;$B$3,'Evaluation Log'!$AJ$2:$AJ$501,'Evaluation Log'!$L$2:$L$501,"MISSING",0),"NOT_REVIEWED"),"MISSING")))</x:f>
      </x:c>
      <x:c r="E97" s="3" t="str">
        <x:f>IF(A97="","",IF(OR(B97&lt;&gt;1,C97&lt;&gt;1),"CHECK_IDS",IFERROR(IF(AND(_xlfn.XLOOKUP($A97&amp;"|"&amp;$B$4,'Evaluation Log'!$AJ$2:$AJ$501,'Evaluation Log'!$AL$2:$AL$501,"MISSING",0)="YES",_xlfn.XLOOKUP($A97&amp;"|"&amp;$B$4,'Evaluation Log'!$AJ$2:$AJ$501,'Evaluation Log'!$P$2:$P$501,"MISSING",0)=$B$6,_xlfn.XLOOKUP($A97&amp;"|"&amp;$B$4,'Evaluation Log'!$AJ$2:$AJ$501,'Evaluation Log'!$D$2:$D$501,"MISSING",0)=$B$5),_xlfn.XLOOKUP($A97&amp;"|"&amp;$B$4,'Evaluation Log'!$AJ$2:$AJ$501,'Evaluation Log'!$L$2:$L$501,"MISSING",0),"NOT_REVIEWED"),"MISSING")))</x:f>
      </x:c>
      <x:c r="F97" s="3" t="str">
        <x:f>IF(A97="","",IF(OR(B97&lt;&gt;1,C97&lt;&gt;1),"MISSING",IFERROR(IF(_xlfn.XLOOKUP($A97&amp;"|"&amp;$B$3,'Evaluation Log'!$AJ$2:$AJ$501,'Evaluation Log'!$AN$2:$AN$501,"MISSING",0)=_xlfn.XLOOKUP($A97&amp;"|"&amp;$B$4,'Evaluation Log'!$AJ$2:$AJ$501,'Evaluation Log'!$AN$2:$AN$501,"MISSING",0),"YES","NO"),"MISSING")))</x:f>
      </x:c>
      <x:c r="G97" s="3" t="str">
        <x:f>IF(A97="","",IF(OR(B97&lt;&gt;1,C97&lt;&gt;1),"MISSING",IFERROR(IF(_xlfn.XLOOKUP($A97&amp;"|"&amp;$B$3,'Evaluation Log'!$AJ$2:$AJ$501,'Evaluation Log'!$K$2:$K$501,"MISSING",0)=_xlfn.XLOOKUP($A97&amp;"|"&amp;$B$4,'Evaluation Log'!$AJ$2:$AJ$501,'Evaluation Log'!$K$2:$K$501,"MISSING",0),"NO","YES"),"MISSING")))</x:f>
      </x:c>
      <x:c r="H97" s="3" t="str">
        <x:f>IF(A97="","",IF(OR(B97&lt;&gt;1,C97&lt;&gt;1),"CHECK_IDS",IF(F97&lt;&gt;"YES","CHANGED_BRIEF",IF(OR(AND(D97&lt;&gt;"PASS",D97&lt;&gt;"FAIL"),AND(E97&lt;&gt;"PASS",E97&lt;&gt;"FAIL")),"NOT_REVIEWED",IF(G97&lt;&gt;"YES","UNCHANGED_POST",D97&amp;"_TO_"&amp;E97)))))</x:f>
      </x:c>
      <x:c r="I97" s="3" t="str"/>
    </x:row>
    <x:row r="98" ht="33" customHeight="1">
      <x:c r="A98" s="3" t="str"/>
      <x:c r="B98" s="3" t="str">
        <x:f>IF(A98="","",COUNTIFS('Evaluation Log'!$A$2:$A$501,$A98,'Evaluation Log'!$B$2:$B$501,$B$3))</x:f>
      </x:c>
      <x:c r="C98" s="3" t="str">
        <x:f>IF(A98="","",COUNTIFS('Evaluation Log'!$A$2:$A$501,$A98,'Evaluation Log'!$B$2:$B$501,$B$4))</x:f>
      </x:c>
      <x:c r="D98" s="3" t="str">
        <x:f>IF(A98="","",IF(OR(B98&lt;&gt;1,C98&lt;&gt;1),"CHECK_IDS",IFERROR(IF(AND(_xlfn.XLOOKUP($A98&amp;"|"&amp;$B$3,'Evaluation Log'!$AJ$2:$AJ$501,'Evaluation Log'!$AL$2:$AL$501,"MISSING",0)="YES",_xlfn.XLOOKUP($A98&amp;"|"&amp;$B$3,'Evaluation Log'!$AJ$2:$AJ$501,'Evaluation Log'!$P$2:$P$501,"MISSING",0)=$B$6,_xlfn.XLOOKUP($A98&amp;"|"&amp;$B$3,'Evaluation Log'!$AJ$2:$AJ$501,'Evaluation Log'!$D$2:$D$501,"MISSING",0)=$B$5),_xlfn.XLOOKUP($A98&amp;"|"&amp;$B$3,'Evaluation Log'!$AJ$2:$AJ$501,'Evaluation Log'!$L$2:$L$501,"MISSING",0),"NOT_REVIEWED"),"MISSING")))</x:f>
      </x:c>
      <x:c r="E98" s="3" t="str">
        <x:f>IF(A98="","",IF(OR(B98&lt;&gt;1,C98&lt;&gt;1),"CHECK_IDS",IFERROR(IF(AND(_xlfn.XLOOKUP($A98&amp;"|"&amp;$B$4,'Evaluation Log'!$AJ$2:$AJ$501,'Evaluation Log'!$AL$2:$AL$501,"MISSING",0)="YES",_xlfn.XLOOKUP($A98&amp;"|"&amp;$B$4,'Evaluation Log'!$AJ$2:$AJ$501,'Evaluation Log'!$P$2:$P$501,"MISSING",0)=$B$6,_xlfn.XLOOKUP($A98&amp;"|"&amp;$B$4,'Evaluation Log'!$AJ$2:$AJ$501,'Evaluation Log'!$D$2:$D$501,"MISSING",0)=$B$5),_xlfn.XLOOKUP($A98&amp;"|"&amp;$B$4,'Evaluation Log'!$AJ$2:$AJ$501,'Evaluation Log'!$L$2:$L$501,"MISSING",0),"NOT_REVIEWED"),"MISSING")))</x:f>
      </x:c>
      <x:c r="F98" s="3" t="str">
        <x:f>IF(A98="","",IF(OR(B98&lt;&gt;1,C98&lt;&gt;1),"MISSING",IFERROR(IF(_xlfn.XLOOKUP($A98&amp;"|"&amp;$B$3,'Evaluation Log'!$AJ$2:$AJ$501,'Evaluation Log'!$AN$2:$AN$501,"MISSING",0)=_xlfn.XLOOKUP($A98&amp;"|"&amp;$B$4,'Evaluation Log'!$AJ$2:$AJ$501,'Evaluation Log'!$AN$2:$AN$501,"MISSING",0),"YES","NO"),"MISSING")))</x:f>
      </x:c>
      <x:c r="G98" s="3" t="str">
        <x:f>IF(A98="","",IF(OR(B98&lt;&gt;1,C98&lt;&gt;1),"MISSING",IFERROR(IF(_xlfn.XLOOKUP($A98&amp;"|"&amp;$B$3,'Evaluation Log'!$AJ$2:$AJ$501,'Evaluation Log'!$K$2:$K$501,"MISSING",0)=_xlfn.XLOOKUP($A98&amp;"|"&amp;$B$4,'Evaluation Log'!$AJ$2:$AJ$501,'Evaluation Log'!$K$2:$K$501,"MISSING",0),"NO","YES"),"MISSING")))</x:f>
      </x:c>
      <x:c r="H98" s="3" t="str">
        <x:f>IF(A98="","",IF(OR(B98&lt;&gt;1,C98&lt;&gt;1),"CHECK_IDS",IF(F98&lt;&gt;"YES","CHANGED_BRIEF",IF(OR(AND(D98&lt;&gt;"PASS",D98&lt;&gt;"FAIL"),AND(E98&lt;&gt;"PASS",E98&lt;&gt;"FAIL")),"NOT_REVIEWED",IF(G98&lt;&gt;"YES","UNCHANGED_POST",D98&amp;"_TO_"&amp;E98)))))</x:f>
      </x:c>
      <x:c r="I98" s="3" t="str"/>
    </x:row>
    <x:row r="99" ht="33" customHeight="1">
      <x:c r="A99" s="3" t="str"/>
      <x:c r="B99" s="3" t="str">
        <x:f>IF(A99="","",COUNTIFS('Evaluation Log'!$A$2:$A$501,$A99,'Evaluation Log'!$B$2:$B$501,$B$3))</x:f>
      </x:c>
      <x:c r="C99" s="3" t="str">
        <x:f>IF(A99="","",COUNTIFS('Evaluation Log'!$A$2:$A$501,$A99,'Evaluation Log'!$B$2:$B$501,$B$4))</x:f>
      </x:c>
      <x:c r="D99" s="3" t="str">
        <x:f>IF(A99="","",IF(OR(B99&lt;&gt;1,C99&lt;&gt;1),"CHECK_IDS",IFERROR(IF(AND(_xlfn.XLOOKUP($A99&amp;"|"&amp;$B$3,'Evaluation Log'!$AJ$2:$AJ$501,'Evaluation Log'!$AL$2:$AL$501,"MISSING",0)="YES",_xlfn.XLOOKUP($A99&amp;"|"&amp;$B$3,'Evaluation Log'!$AJ$2:$AJ$501,'Evaluation Log'!$P$2:$P$501,"MISSING",0)=$B$6,_xlfn.XLOOKUP($A99&amp;"|"&amp;$B$3,'Evaluation Log'!$AJ$2:$AJ$501,'Evaluation Log'!$D$2:$D$501,"MISSING",0)=$B$5),_xlfn.XLOOKUP($A99&amp;"|"&amp;$B$3,'Evaluation Log'!$AJ$2:$AJ$501,'Evaluation Log'!$L$2:$L$501,"MISSING",0),"NOT_REVIEWED"),"MISSING")))</x:f>
      </x:c>
      <x:c r="E99" s="3" t="str">
        <x:f>IF(A99="","",IF(OR(B99&lt;&gt;1,C99&lt;&gt;1),"CHECK_IDS",IFERROR(IF(AND(_xlfn.XLOOKUP($A99&amp;"|"&amp;$B$4,'Evaluation Log'!$AJ$2:$AJ$501,'Evaluation Log'!$AL$2:$AL$501,"MISSING",0)="YES",_xlfn.XLOOKUP($A99&amp;"|"&amp;$B$4,'Evaluation Log'!$AJ$2:$AJ$501,'Evaluation Log'!$P$2:$P$501,"MISSING",0)=$B$6,_xlfn.XLOOKUP($A99&amp;"|"&amp;$B$4,'Evaluation Log'!$AJ$2:$AJ$501,'Evaluation Log'!$D$2:$D$501,"MISSING",0)=$B$5),_xlfn.XLOOKUP($A99&amp;"|"&amp;$B$4,'Evaluation Log'!$AJ$2:$AJ$501,'Evaluation Log'!$L$2:$L$501,"MISSING",0),"NOT_REVIEWED"),"MISSING")))</x:f>
      </x:c>
      <x:c r="F99" s="3" t="str">
        <x:f>IF(A99="","",IF(OR(B99&lt;&gt;1,C99&lt;&gt;1),"MISSING",IFERROR(IF(_xlfn.XLOOKUP($A99&amp;"|"&amp;$B$3,'Evaluation Log'!$AJ$2:$AJ$501,'Evaluation Log'!$AN$2:$AN$501,"MISSING",0)=_xlfn.XLOOKUP($A99&amp;"|"&amp;$B$4,'Evaluation Log'!$AJ$2:$AJ$501,'Evaluation Log'!$AN$2:$AN$501,"MISSING",0),"YES","NO"),"MISSING")))</x:f>
      </x:c>
      <x:c r="G99" s="3" t="str">
        <x:f>IF(A99="","",IF(OR(B99&lt;&gt;1,C99&lt;&gt;1),"MISSING",IFERROR(IF(_xlfn.XLOOKUP($A99&amp;"|"&amp;$B$3,'Evaluation Log'!$AJ$2:$AJ$501,'Evaluation Log'!$K$2:$K$501,"MISSING",0)=_xlfn.XLOOKUP($A99&amp;"|"&amp;$B$4,'Evaluation Log'!$AJ$2:$AJ$501,'Evaluation Log'!$K$2:$K$501,"MISSING",0),"NO","YES"),"MISSING")))</x:f>
      </x:c>
      <x:c r="H99" s="3" t="str">
        <x:f>IF(A99="","",IF(OR(B99&lt;&gt;1,C99&lt;&gt;1),"CHECK_IDS",IF(F99&lt;&gt;"YES","CHANGED_BRIEF",IF(OR(AND(D99&lt;&gt;"PASS",D99&lt;&gt;"FAIL"),AND(E99&lt;&gt;"PASS",E99&lt;&gt;"FAIL")),"NOT_REVIEWED",IF(G99&lt;&gt;"YES","UNCHANGED_POST",D99&amp;"_TO_"&amp;E99)))))</x:f>
      </x:c>
      <x:c r="I99" s="3" t="str"/>
    </x:row>
    <x:row r="100" ht="33" customHeight="1">
      <x:c r="A100" s="3" t="str"/>
      <x:c r="B100" s="3" t="str">
        <x:f>IF(A100="","",COUNTIFS('Evaluation Log'!$A$2:$A$501,$A100,'Evaluation Log'!$B$2:$B$501,$B$3))</x:f>
      </x:c>
      <x:c r="C100" s="3" t="str">
        <x:f>IF(A100="","",COUNTIFS('Evaluation Log'!$A$2:$A$501,$A100,'Evaluation Log'!$B$2:$B$501,$B$4))</x:f>
      </x:c>
      <x:c r="D100" s="3" t="str">
        <x:f>IF(A100="","",IF(OR(B100&lt;&gt;1,C100&lt;&gt;1),"CHECK_IDS",IFERROR(IF(AND(_xlfn.XLOOKUP($A100&amp;"|"&amp;$B$3,'Evaluation Log'!$AJ$2:$AJ$501,'Evaluation Log'!$AL$2:$AL$501,"MISSING",0)="YES",_xlfn.XLOOKUP($A100&amp;"|"&amp;$B$3,'Evaluation Log'!$AJ$2:$AJ$501,'Evaluation Log'!$P$2:$P$501,"MISSING",0)=$B$6,_xlfn.XLOOKUP($A100&amp;"|"&amp;$B$3,'Evaluation Log'!$AJ$2:$AJ$501,'Evaluation Log'!$D$2:$D$501,"MISSING",0)=$B$5),_xlfn.XLOOKUP($A100&amp;"|"&amp;$B$3,'Evaluation Log'!$AJ$2:$AJ$501,'Evaluation Log'!$L$2:$L$501,"MISSING",0),"NOT_REVIEWED"),"MISSING")))</x:f>
      </x:c>
      <x:c r="E100" s="3" t="str">
        <x:f>IF(A100="","",IF(OR(B100&lt;&gt;1,C100&lt;&gt;1),"CHECK_IDS",IFERROR(IF(AND(_xlfn.XLOOKUP($A100&amp;"|"&amp;$B$4,'Evaluation Log'!$AJ$2:$AJ$501,'Evaluation Log'!$AL$2:$AL$501,"MISSING",0)="YES",_xlfn.XLOOKUP($A100&amp;"|"&amp;$B$4,'Evaluation Log'!$AJ$2:$AJ$501,'Evaluation Log'!$P$2:$P$501,"MISSING",0)=$B$6,_xlfn.XLOOKUP($A100&amp;"|"&amp;$B$4,'Evaluation Log'!$AJ$2:$AJ$501,'Evaluation Log'!$D$2:$D$501,"MISSING",0)=$B$5),_xlfn.XLOOKUP($A100&amp;"|"&amp;$B$4,'Evaluation Log'!$AJ$2:$AJ$501,'Evaluation Log'!$L$2:$L$501,"MISSING",0),"NOT_REVIEWED"),"MISSING")))</x:f>
      </x:c>
      <x:c r="F100" s="3" t="str">
        <x:f>IF(A100="","",IF(OR(B100&lt;&gt;1,C100&lt;&gt;1),"MISSING",IFERROR(IF(_xlfn.XLOOKUP($A100&amp;"|"&amp;$B$3,'Evaluation Log'!$AJ$2:$AJ$501,'Evaluation Log'!$AN$2:$AN$501,"MISSING",0)=_xlfn.XLOOKUP($A100&amp;"|"&amp;$B$4,'Evaluation Log'!$AJ$2:$AJ$501,'Evaluation Log'!$AN$2:$AN$501,"MISSING",0),"YES","NO"),"MISSING")))</x:f>
      </x:c>
      <x:c r="G100" s="3" t="str">
        <x:f>IF(A100="","",IF(OR(B100&lt;&gt;1,C100&lt;&gt;1),"MISSING",IFERROR(IF(_xlfn.XLOOKUP($A100&amp;"|"&amp;$B$3,'Evaluation Log'!$AJ$2:$AJ$501,'Evaluation Log'!$K$2:$K$501,"MISSING",0)=_xlfn.XLOOKUP($A100&amp;"|"&amp;$B$4,'Evaluation Log'!$AJ$2:$AJ$501,'Evaluation Log'!$K$2:$K$501,"MISSING",0),"NO","YES"),"MISSING")))</x:f>
      </x:c>
      <x:c r="H100" s="3" t="str">
        <x:f>IF(A100="","",IF(OR(B100&lt;&gt;1,C100&lt;&gt;1),"CHECK_IDS",IF(F100&lt;&gt;"YES","CHANGED_BRIEF",IF(OR(AND(D100&lt;&gt;"PASS",D100&lt;&gt;"FAIL"),AND(E100&lt;&gt;"PASS",E100&lt;&gt;"FAIL")),"NOT_REVIEWED",IF(G100&lt;&gt;"YES","UNCHANGED_POST",D100&amp;"_TO_"&amp;E100)))))</x:f>
      </x:c>
      <x:c r="I100" s="3" t="str"/>
    </x:row>
    <x:row r="101" ht="33" customHeight="1">
      <x:c r="A101" s="3" t="str"/>
      <x:c r="B101" s="3" t="str">
        <x:f>IF(A101="","",COUNTIFS('Evaluation Log'!$A$2:$A$501,$A101,'Evaluation Log'!$B$2:$B$501,$B$3))</x:f>
      </x:c>
      <x:c r="C101" s="3" t="str">
        <x:f>IF(A101="","",COUNTIFS('Evaluation Log'!$A$2:$A$501,$A101,'Evaluation Log'!$B$2:$B$501,$B$4))</x:f>
      </x:c>
      <x:c r="D101" s="3" t="str">
        <x:f>IF(A101="","",IF(OR(B101&lt;&gt;1,C101&lt;&gt;1),"CHECK_IDS",IFERROR(IF(AND(_xlfn.XLOOKUP($A101&amp;"|"&amp;$B$3,'Evaluation Log'!$AJ$2:$AJ$501,'Evaluation Log'!$AL$2:$AL$501,"MISSING",0)="YES",_xlfn.XLOOKUP($A101&amp;"|"&amp;$B$3,'Evaluation Log'!$AJ$2:$AJ$501,'Evaluation Log'!$P$2:$P$501,"MISSING",0)=$B$6,_xlfn.XLOOKUP($A101&amp;"|"&amp;$B$3,'Evaluation Log'!$AJ$2:$AJ$501,'Evaluation Log'!$D$2:$D$501,"MISSING",0)=$B$5),_xlfn.XLOOKUP($A101&amp;"|"&amp;$B$3,'Evaluation Log'!$AJ$2:$AJ$501,'Evaluation Log'!$L$2:$L$501,"MISSING",0),"NOT_REVIEWED"),"MISSING")))</x:f>
      </x:c>
      <x:c r="E101" s="3" t="str">
        <x:f>IF(A101="","",IF(OR(B101&lt;&gt;1,C101&lt;&gt;1),"CHECK_IDS",IFERROR(IF(AND(_xlfn.XLOOKUP($A101&amp;"|"&amp;$B$4,'Evaluation Log'!$AJ$2:$AJ$501,'Evaluation Log'!$AL$2:$AL$501,"MISSING",0)="YES",_xlfn.XLOOKUP($A101&amp;"|"&amp;$B$4,'Evaluation Log'!$AJ$2:$AJ$501,'Evaluation Log'!$P$2:$P$501,"MISSING",0)=$B$6,_xlfn.XLOOKUP($A101&amp;"|"&amp;$B$4,'Evaluation Log'!$AJ$2:$AJ$501,'Evaluation Log'!$D$2:$D$501,"MISSING",0)=$B$5),_xlfn.XLOOKUP($A101&amp;"|"&amp;$B$4,'Evaluation Log'!$AJ$2:$AJ$501,'Evaluation Log'!$L$2:$L$501,"MISSING",0),"NOT_REVIEWED"),"MISSING")))</x:f>
      </x:c>
      <x:c r="F101" s="3" t="str">
        <x:f>IF(A101="","",IF(OR(B101&lt;&gt;1,C101&lt;&gt;1),"MISSING",IFERROR(IF(_xlfn.XLOOKUP($A101&amp;"|"&amp;$B$3,'Evaluation Log'!$AJ$2:$AJ$501,'Evaluation Log'!$AN$2:$AN$501,"MISSING",0)=_xlfn.XLOOKUP($A101&amp;"|"&amp;$B$4,'Evaluation Log'!$AJ$2:$AJ$501,'Evaluation Log'!$AN$2:$AN$501,"MISSING",0),"YES","NO"),"MISSING")))</x:f>
      </x:c>
      <x:c r="G101" s="3" t="str">
        <x:f>IF(A101="","",IF(OR(B101&lt;&gt;1,C101&lt;&gt;1),"MISSING",IFERROR(IF(_xlfn.XLOOKUP($A101&amp;"|"&amp;$B$3,'Evaluation Log'!$AJ$2:$AJ$501,'Evaluation Log'!$K$2:$K$501,"MISSING",0)=_xlfn.XLOOKUP($A101&amp;"|"&amp;$B$4,'Evaluation Log'!$AJ$2:$AJ$501,'Evaluation Log'!$K$2:$K$501,"MISSING",0),"NO","YES"),"MISSING")))</x:f>
      </x:c>
      <x:c r="H101" s="3" t="str">
        <x:f>IF(A101="","",IF(OR(B101&lt;&gt;1,C101&lt;&gt;1),"CHECK_IDS",IF(F101&lt;&gt;"YES","CHANGED_BRIEF",IF(OR(AND(D101&lt;&gt;"PASS",D101&lt;&gt;"FAIL"),AND(E101&lt;&gt;"PASS",E101&lt;&gt;"FAIL")),"NOT_REVIEWED",IF(G101&lt;&gt;"YES","UNCHANGED_POST",D101&amp;"_TO_"&amp;E101)))))</x:f>
      </x:c>
      <x:c r="I101" s="3" t="str"/>
    </x:row>
    <x:row r="102" ht="33" customHeight="1">
      <x:c r="A102" s="3" t="str"/>
      <x:c r="B102" s="3" t="str">
        <x:f>IF(A102="","",COUNTIFS('Evaluation Log'!$A$2:$A$501,$A102,'Evaluation Log'!$B$2:$B$501,$B$3))</x:f>
      </x:c>
      <x:c r="C102" s="3" t="str">
        <x:f>IF(A102="","",COUNTIFS('Evaluation Log'!$A$2:$A$501,$A102,'Evaluation Log'!$B$2:$B$501,$B$4))</x:f>
      </x:c>
      <x:c r="D102" s="3" t="str">
        <x:f>IF(A102="","",IF(OR(B102&lt;&gt;1,C102&lt;&gt;1),"CHECK_IDS",IFERROR(IF(AND(_xlfn.XLOOKUP($A102&amp;"|"&amp;$B$3,'Evaluation Log'!$AJ$2:$AJ$501,'Evaluation Log'!$AL$2:$AL$501,"MISSING",0)="YES",_xlfn.XLOOKUP($A102&amp;"|"&amp;$B$3,'Evaluation Log'!$AJ$2:$AJ$501,'Evaluation Log'!$P$2:$P$501,"MISSING",0)=$B$6,_xlfn.XLOOKUP($A102&amp;"|"&amp;$B$3,'Evaluation Log'!$AJ$2:$AJ$501,'Evaluation Log'!$D$2:$D$501,"MISSING",0)=$B$5),_xlfn.XLOOKUP($A102&amp;"|"&amp;$B$3,'Evaluation Log'!$AJ$2:$AJ$501,'Evaluation Log'!$L$2:$L$501,"MISSING",0),"NOT_REVIEWED"),"MISSING")))</x:f>
      </x:c>
      <x:c r="E102" s="3" t="str">
        <x:f>IF(A102="","",IF(OR(B102&lt;&gt;1,C102&lt;&gt;1),"CHECK_IDS",IFERROR(IF(AND(_xlfn.XLOOKUP($A102&amp;"|"&amp;$B$4,'Evaluation Log'!$AJ$2:$AJ$501,'Evaluation Log'!$AL$2:$AL$501,"MISSING",0)="YES",_xlfn.XLOOKUP($A102&amp;"|"&amp;$B$4,'Evaluation Log'!$AJ$2:$AJ$501,'Evaluation Log'!$P$2:$P$501,"MISSING",0)=$B$6,_xlfn.XLOOKUP($A102&amp;"|"&amp;$B$4,'Evaluation Log'!$AJ$2:$AJ$501,'Evaluation Log'!$D$2:$D$501,"MISSING",0)=$B$5),_xlfn.XLOOKUP($A102&amp;"|"&amp;$B$4,'Evaluation Log'!$AJ$2:$AJ$501,'Evaluation Log'!$L$2:$L$501,"MISSING",0),"NOT_REVIEWED"),"MISSING")))</x:f>
      </x:c>
      <x:c r="F102" s="3" t="str">
        <x:f>IF(A102="","",IF(OR(B102&lt;&gt;1,C102&lt;&gt;1),"MISSING",IFERROR(IF(_xlfn.XLOOKUP($A102&amp;"|"&amp;$B$3,'Evaluation Log'!$AJ$2:$AJ$501,'Evaluation Log'!$AN$2:$AN$501,"MISSING",0)=_xlfn.XLOOKUP($A102&amp;"|"&amp;$B$4,'Evaluation Log'!$AJ$2:$AJ$501,'Evaluation Log'!$AN$2:$AN$501,"MISSING",0),"YES","NO"),"MISSING")))</x:f>
      </x:c>
      <x:c r="G102" s="3" t="str">
        <x:f>IF(A102="","",IF(OR(B102&lt;&gt;1,C102&lt;&gt;1),"MISSING",IFERROR(IF(_xlfn.XLOOKUP($A102&amp;"|"&amp;$B$3,'Evaluation Log'!$AJ$2:$AJ$501,'Evaluation Log'!$K$2:$K$501,"MISSING",0)=_xlfn.XLOOKUP($A102&amp;"|"&amp;$B$4,'Evaluation Log'!$AJ$2:$AJ$501,'Evaluation Log'!$K$2:$K$501,"MISSING",0),"NO","YES"),"MISSING")))</x:f>
      </x:c>
      <x:c r="H102" s="3" t="str">
        <x:f>IF(A102="","",IF(OR(B102&lt;&gt;1,C102&lt;&gt;1),"CHECK_IDS",IF(F102&lt;&gt;"YES","CHANGED_BRIEF",IF(OR(AND(D102&lt;&gt;"PASS",D102&lt;&gt;"FAIL"),AND(E102&lt;&gt;"PASS",E102&lt;&gt;"FAIL")),"NOT_REVIEWED",IF(G102&lt;&gt;"YES","UNCHANGED_POST",D102&amp;"_TO_"&amp;E102)))))</x:f>
      </x:c>
      <x:c r="I102" s="3" t="str"/>
    </x:row>
    <x:row r="103" ht="33" customHeight="1">
      <x:c r="A103" s="3" t="str"/>
      <x:c r="B103" s="3" t="str">
        <x:f>IF(A103="","",COUNTIFS('Evaluation Log'!$A$2:$A$501,$A103,'Evaluation Log'!$B$2:$B$501,$B$3))</x:f>
      </x:c>
      <x:c r="C103" s="3" t="str">
        <x:f>IF(A103="","",COUNTIFS('Evaluation Log'!$A$2:$A$501,$A103,'Evaluation Log'!$B$2:$B$501,$B$4))</x:f>
      </x:c>
      <x:c r="D103" s="3" t="str">
        <x:f>IF(A103="","",IF(OR(B103&lt;&gt;1,C103&lt;&gt;1),"CHECK_IDS",IFERROR(IF(AND(_xlfn.XLOOKUP($A103&amp;"|"&amp;$B$3,'Evaluation Log'!$AJ$2:$AJ$501,'Evaluation Log'!$AL$2:$AL$501,"MISSING",0)="YES",_xlfn.XLOOKUP($A103&amp;"|"&amp;$B$3,'Evaluation Log'!$AJ$2:$AJ$501,'Evaluation Log'!$P$2:$P$501,"MISSING",0)=$B$6,_xlfn.XLOOKUP($A103&amp;"|"&amp;$B$3,'Evaluation Log'!$AJ$2:$AJ$501,'Evaluation Log'!$D$2:$D$501,"MISSING",0)=$B$5),_xlfn.XLOOKUP($A103&amp;"|"&amp;$B$3,'Evaluation Log'!$AJ$2:$AJ$501,'Evaluation Log'!$L$2:$L$501,"MISSING",0),"NOT_REVIEWED"),"MISSING")))</x:f>
      </x:c>
      <x:c r="E103" s="3" t="str">
        <x:f>IF(A103="","",IF(OR(B103&lt;&gt;1,C103&lt;&gt;1),"CHECK_IDS",IFERROR(IF(AND(_xlfn.XLOOKUP($A103&amp;"|"&amp;$B$4,'Evaluation Log'!$AJ$2:$AJ$501,'Evaluation Log'!$AL$2:$AL$501,"MISSING",0)="YES",_xlfn.XLOOKUP($A103&amp;"|"&amp;$B$4,'Evaluation Log'!$AJ$2:$AJ$501,'Evaluation Log'!$P$2:$P$501,"MISSING",0)=$B$6,_xlfn.XLOOKUP($A103&amp;"|"&amp;$B$4,'Evaluation Log'!$AJ$2:$AJ$501,'Evaluation Log'!$D$2:$D$501,"MISSING",0)=$B$5),_xlfn.XLOOKUP($A103&amp;"|"&amp;$B$4,'Evaluation Log'!$AJ$2:$AJ$501,'Evaluation Log'!$L$2:$L$501,"MISSING",0),"NOT_REVIEWED"),"MISSING")))</x:f>
      </x:c>
      <x:c r="F103" s="3" t="str">
        <x:f>IF(A103="","",IF(OR(B103&lt;&gt;1,C103&lt;&gt;1),"MISSING",IFERROR(IF(_xlfn.XLOOKUP($A103&amp;"|"&amp;$B$3,'Evaluation Log'!$AJ$2:$AJ$501,'Evaluation Log'!$AN$2:$AN$501,"MISSING",0)=_xlfn.XLOOKUP($A103&amp;"|"&amp;$B$4,'Evaluation Log'!$AJ$2:$AJ$501,'Evaluation Log'!$AN$2:$AN$501,"MISSING",0),"YES","NO"),"MISSING")))</x:f>
      </x:c>
      <x:c r="G103" s="3" t="str">
        <x:f>IF(A103="","",IF(OR(B103&lt;&gt;1,C103&lt;&gt;1),"MISSING",IFERROR(IF(_xlfn.XLOOKUP($A103&amp;"|"&amp;$B$3,'Evaluation Log'!$AJ$2:$AJ$501,'Evaluation Log'!$K$2:$K$501,"MISSING",0)=_xlfn.XLOOKUP($A103&amp;"|"&amp;$B$4,'Evaluation Log'!$AJ$2:$AJ$501,'Evaluation Log'!$K$2:$K$501,"MISSING",0),"NO","YES"),"MISSING")))</x:f>
      </x:c>
      <x:c r="H103" s="3" t="str">
        <x:f>IF(A103="","",IF(OR(B103&lt;&gt;1,C103&lt;&gt;1),"CHECK_IDS",IF(F103&lt;&gt;"YES","CHANGED_BRIEF",IF(OR(AND(D103&lt;&gt;"PASS",D103&lt;&gt;"FAIL"),AND(E103&lt;&gt;"PASS",E103&lt;&gt;"FAIL")),"NOT_REVIEWED",IF(G103&lt;&gt;"YES","UNCHANGED_POST",D103&amp;"_TO_"&amp;E103)))))</x:f>
      </x:c>
      <x:c r="I103" s="3" t="str"/>
    </x:row>
    <x:row r="104" ht="33" customHeight="1">
      <x:c r="A104" s="3" t="str"/>
      <x:c r="B104" s="3" t="str">
        <x:f>IF(A104="","",COUNTIFS('Evaluation Log'!$A$2:$A$501,$A104,'Evaluation Log'!$B$2:$B$501,$B$3))</x:f>
      </x:c>
      <x:c r="C104" s="3" t="str">
        <x:f>IF(A104="","",COUNTIFS('Evaluation Log'!$A$2:$A$501,$A104,'Evaluation Log'!$B$2:$B$501,$B$4))</x:f>
      </x:c>
      <x:c r="D104" s="3" t="str">
        <x:f>IF(A104="","",IF(OR(B104&lt;&gt;1,C104&lt;&gt;1),"CHECK_IDS",IFERROR(IF(AND(_xlfn.XLOOKUP($A104&amp;"|"&amp;$B$3,'Evaluation Log'!$AJ$2:$AJ$501,'Evaluation Log'!$AL$2:$AL$501,"MISSING",0)="YES",_xlfn.XLOOKUP($A104&amp;"|"&amp;$B$3,'Evaluation Log'!$AJ$2:$AJ$501,'Evaluation Log'!$P$2:$P$501,"MISSING",0)=$B$6,_xlfn.XLOOKUP($A104&amp;"|"&amp;$B$3,'Evaluation Log'!$AJ$2:$AJ$501,'Evaluation Log'!$D$2:$D$501,"MISSING",0)=$B$5),_xlfn.XLOOKUP($A104&amp;"|"&amp;$B$3,'Evaluation Log'!$AJ$2:$AJ$501,'Evaluation Log'!$L$2:$L$501,"MISSING",0),"NOT_REVIEWED"),"MISSING")))</x:f>
      </x:c>
      <x:c r="E104" s="3" t="str">
        <x:f>IF(A104="","",IF(OR(B104&lt;&gt;1,C104&lt;&gt;1),"CHECK_IDS",IFERROR(IF(AND(_xlfn.XLOOKUP($A104&amp;"|"&amp;$B$4,'Evaluation Log'!$AJ$2:$AJ$501,'Evaluation Log'!$AL$2:$AL$501,"MISSING",0)="YES",_xlfn.XLOOKUP($A104&amp;"|"&amp;$B$4,'Evaluation Log'!$AJ$2:$AJ$501,'Evaluation Log'!$P$2:$P$501,"MISSING",0)=$B$6,_xlfn.XLOOKUP($A104&amp;"|"&amp;$B$4,'Evaluation Log'!$AJ$2:$AJ$501,'Evaluation Log'!$D$2:$D$501,"MISSING",0)=$B$5),_xlfn.XLOOKUP($A104&amp;"|"&amp;$B$4,'Evaluation Log'!$AJ$2:$AJ$501,'Evaluation Log'!$L$2:$L$501,"MISSING",0),"NOT_REVIEWED"),"MISSING")))</x:f>
      </x:c>
      <x:c r="F104" s="3" t="str">
        <x:f>IF(A104="","",IF(OR(B104&lt;&gt;1,C104&lt;&gt;1),"MISSING",IFERROR(IF(_xlfn.XLOOKUP($A104&amp;"|"&amp;$B$3,'Evaluation Log'!$AJ$2:$AJ$501,'Evaluation Log'!$AN$2:$AN$501,"MISSING",0)=_xlfn.XLOOKUP($A104&amp;"|"&amp;$B$4,'Evaluation Log'!$AJ$2:$AJ$501,'Evaluation Log'!$AN$2:$AN$501,"MISSING",0),"YES","NO"),"MISSING")))</x:f>
      </x:c>
      <x:c r="G104" s="3" t="str">
        <x:f>IF(A104="","",IF(OR(B104&lt;&gt;1,C104&lt;&gt;1),"MISSING",IFERROR(IF(_xlfn.XLOOKUP($A104&amp;"|"&amp;$B$3,'Evaluation Log'!$AJ$2:$AJ$501,'Evaluation Log'!$K$2:$K$501,"MISSING",0)=_xlfn.XLOOKUP($A104&amp;"|"&amp;$B$4,'Evaluation Log'!$AJ$2:$AJ$501,'Evaluation Log'!$K$2:$K$501,"MISSING",0),"NO","YES"),"MISSING")))</x:f>
      </x:c>
      <x:c r="H104" s="3" t="str">
        <x:f>IF(A104="","",IF(OR(B104&lt;&gt;1,C104&lt;&gt;1),"CHECK_IDS",IF(F104&lt;&gt;"YES","CHANGED_BRIEF",IF(OR(AND(D104&lt;&gt;"PASS",D104&lt;&gt;"FAIL"),AND(E104&lt;&gt;"PASS",E104&lt;&gt;"FAIL")),"NOT_REVIEWED",IF(G104&lt;&gt;"YES","UNCHANGED_POST",D104&amp;"_TO_"&amp;E104)))))</x:f>
      </x:c>
      <x:c r="I104" s="3" t="str"/>
    </x:row>
    <x:row r="105" ht="33" customHeight="1">
      <x:c r="A105" s="3" t="str"/>
      <x:c r="B105" s="3" t="str">
        <x:f>IF(A105="","",COUNTIFS('Evaluation Log'!$A$2:$A$501,$A105,'Evaluation Log'!$B$2:$B$501,$B$3))</x:f>
      </x:c>
      <x:c r="C105" s="3" t="str">
        <x:f>IF(A105="","",COUNTIFS('Evaluation Log'!$A$2:$A$501,$A105,'Evaluation Log'!$B$2:$B$501,$B$4))</x:f>
      </x:c>
      <x:c r="D105" s="3" t="str">
        <x:f>IF(A105="","",IF(OR(B105&lt;&gt;1,C105&lt;&gt;1),"CHECK_IDS",IFERROR(IF(AND(_xlfn.XLOOKUP($A105&amp;"|"&amp;$B$3,'Evaluation Log'!$AJ$2:$AJ$501,'Evaluation Log'!$AL$2:$AL$501,"MISSING",0)="YES",_xlfn.XLOOKUP($A105&amp;"|"&amp;$B$3,'Evaluation Log'!$AJ$2:$AJ$501,'Evaluation Log'!$P$2:$P$501,"MISSING",0)=$B$6,_xlfn.XLOOKUP($A105&amp;"|"&amp;$B$3,'Evaluation Log'!$AJ$2:$AJ$501,'Evaluation Log'!$D$2:$D$501,"MISSING",0)=$B$5),_xlfn.XLOOKUP($A105&amp;"|"&amp;$B$3,'Evaluation Log'!$AJ$2:$AJ$501,'Evaluation Log'!$L$2:$L$501,"MISSING",0),"NOT_REVIEWED"),"MISSING")))</x:f>
      </x:c>
      <x:c r="E105" s="3" t="str">
        <x:f>IF(A105="","",IF(OR(B105&lt;&gt;1,C105&lt;&gt;1),"CHECK_IDS",IFERROR(IF(AND(_xlfn.XLOOKUP($A105&amp;"|"&amp;$B$4,'Evaluation Log'!$AJ$2:$AJ$501,'Evaluation Log'!$AL$2:$AL$501,"MISSING",0)="YES",_xlfn.XLOOKUP($A105&amp;"|"&amp;$B$4,'Evaluation Log'!$AJ$2:$AJ$501,'Evaluation Log'!$P$2:$P$501,"MISSING",0)=$B$6,_xlfn.XLOOKUP($A105&amp;"|"&amp;$B$4,'Evaluation Log'!$AJ$2:$AJ$501,'Evaluation Log'!$D$2:$D$501,"MISSING",0)=$B$5),_xlfn.XLOOKUP($A105&amp;"|"&amp;$B$4,'Evaluation Log'!$AJ$2:$AJ$501,'Evaluation Log'!$L$2:$L$501,"MISSING",0),"NOT_REVIEWED"),"MISSING")))</x:f>
      </x:c>
      <x:c r="F105" s="3" t="str">
        <x:f>IF(A105="","",IF(OR(B105&lt;&gt;1,C105&lt;&gt;1),"MISSING",IFERROR(IF(_xlfn.XLOOKUP($A105&amp;"|"&amp;$B$3,'Evaluation Log'!$AJ$2:$AJ$501,'Evaluation Log'!$AN$2:$AN$501,"MISSING",0)=_xlfn.XLOOKUP($A105&amp;"|"&amp;$B$4,'Evaluation Log'!$AJ$2:$AJ$501,'Evaluation Log'!$AN$2:$AN$501,"MISSING",0),"YES","NO"),"MISSING")))</x:f>
      </x:c>
      <x:c r="G105" s="3" t="str">
        <x:f>IF(A105="","",IF(OR(B105&lt;&gt;1,C105&lt;&gt;1),"MISSING",IFERROR(IF(_xlfn.XLOOKUP($A105&amp;"|"&amp;$B$3,'Evaluation Log'!$AJ$2:$AJ$501,'Evaluation Log'!$K$2:$K$501,"MISSING",0)=_xlfn.XLOOKUP($A105&amp;"|"&amp;$B$4,'Evaluation Log'!$AJ$2:$AJ$501,'Evaluation Log'!$K$2:$K$501,"MISSING",0),"NO","YES"),"MISSING")))</x:f>
      </x:c>
      <x:c r="H105" s="3" t="str">
        <x:f>IF(A105="","",IF(OR(B105&lt;&gt;1,C105&lt;&gt;1),"CHECK_IDS",IF(F105&lt;&gt;"YES","CHANGED_BRIEF",IF(OR(AND(D105&lt;&gt;"PASS",D105&lt;&gt;"FAIL"),AND(E105&lt;&gt;"PASS",E105&lt;&gt;"FAIL")),"NOT_REVIEWED",IF(G105&lt;&gt;"YES","UNCHANGED_POST",D105&amp;"_TO_"&amp;E105)))))</x:f>
      </x:c>
      <x:c r="I105" s="3" t="str"/>
    </x:row>
    <x:row r="106" ht="33" customHeight="1">
      <x:c r="A106" s="3" t="str"/>
      <x:c r="B106" s="3" t="str">
        <x:f>IF(A106="","",COUNTIFS('Evaluation Log'!$A$2:$A$501,$A106,'Evaluation Log'!$B$2:$B$501,$B$3))</x:f>
      </x:c>
      <x:c r="C106" s="3" t="str">
        <x:f>IF(A106="","",COUNTIFS('Evaluation Log'!$A$2:$A$501,$A106,'Evaluation Log'!$B$2:$B$501,$B$4))</x:f>
      </x:c>
      <x:c r="D106" s="3" t="str">
        <x:f>IF(A106="","",IF(OR(B106&lt;&gt;1,C106&lt;&gt;1),"CHECK_IDS",IFERROR(IF(AND(_xlfn.XLOOKUP($A106&amp;"|"&amp;$B$3,'Evaluation Log'!$AJ$2:$AJ$501,'Evaluation Log'!$AL$2:$AL$501,"MISSING",0)="YES",_xlfn.XLOOKUP($A106&amp;"|"&amp;$B$3,'Evaluation Log'!$AJ$2:$AJ$501,'Evaluation Log'!$P$2:$P$501,"MISSING",0)=$B$6,_xlfn.XLOOKUP($A106&amp;"|"&amp;$B$3,'Evaluation Log'!$AJ$2:$AJ$501,'Evaluation Log'!$D$2:$D$501,"MISSING",0)=$B$5),_xlfn.XLOOKUP($A106&amp;"|"&amp;$B$3,'Evaluation Log'!$AJ$2:$AJ$501,'Evaluation Log'!$L$2:$L$501,"MISSING",0),"NOT_REVIEWED"),"MISSING")))</x:f>
      </x:c>
      <x:c r="E106" s="3" t="str">
        <x:f>IF(A106="","",IF(OR(B106&lt;&gt;1,C106&lt;&gt;1),"CHECK_IDS",IFERROR(IF(AND(_xlfn.XLOOKUP($A106&amp;"|"&amp;$B$4,'Evaluation Log'!$AJ$2:$AJ$501,'Evaluation Log'!$AL$2:$AL$501,"MISSING",0)="YES",_xlfn.XLOOKUP($A106&amp;"|"&amp;$B$4,'Evaluation Log'!$AJ$2:$AJ$501,'Evaluation Log'!$P$2:$P$501,"MISSING",0)=$B$6,_xlfn.XLOOKUP($A106&amp;"|"&amp;$B$4,'Evaluation Log'!$AJ$2:$AJ$501,'Evaluation Log'!$D$2:$D$501,"MISSING",0)=$B$5),_xlfn.XLOOKUP($A106&amp;"|"&amp;$B$4,'Evaluation Log'!$AJ$2:$AJ$501,'Evaluation Log'!$L$2:$L$501,"MISSING",0),"NOT_REVIEWED"),"MISSING")))</x:f>
      </x:c>
      <x:c r="F106" s="3" t="str">
        <x:f>IF(A106="","",IF(OR(B106&lt;&gt;1,C106&lt;&gt;1),"MISSING",IFERROR(IF(_xlfn.XLOOKUP($A106&amp;"|"&amp;$B$3,'Evaluation Log'!$AJ$2:$AJ$501,'Evaluation Log'!$AN$2:$AN$501,"MISSING",0)=_xlfn.XLOOKUP($A106&amp;"|"&amp;$B$4,'Evaluation Log'!$AJ$2:$AJ$501,'Evaluation Log'!$AN$2:$AN$501,"MISSING",0),"YES","NO"),"MISSING")))</x:f>
      </x:c>
      <x:c r="G106" s="3" t="str">
        <x:f>IF(A106="","",IF(OR(B106&lt;&gt;1,C106&lt;&gt;1),"MISSING",IFERROR(IF(_xlfn.XLOOKUP($A106&amp;"|"&amp;$B$3,'Evaluation Log'!$AJ$2:$AJ$501,'Evaluation Log'!$K$2:$K$501,"MISSING",0)=_xlfn.XLOOKUP($A106&amp;"|"&amp;$B$4,'Evaluation Log'!$AJ$2:$AJ$501,'Evaluation Log'!$K$2:$K$501,"MISSING",0),"NO","YES"),"MISSING")))</x:f>
      </x:c>
      <x:c r="H106" s="3" t="str">
        <x:f>IF(A106="","",IF(OR(B106&lt;&gt;1,C106&lt;&gt;1),"CHECK_IDS",IF(F106&lt;&gt;"YES","CHANGED_BRIEF",IF(OR(AND(D106&lt;&gt;"PASS",D106&lt;&gt;"FAIL"),AND(E106&lt;&gt;"PASS",E106&lt;&gt;"FAIL")),"NOT_REVIEWED",IF(G106&lt;&gt;"YES","UNCHANGED_POST",D106&amp;"_TO_"&amp;E106)))))</x:f>
      </x:c>
      <x:c r="I106" s="3" t="str"/>
    </x:row>
    <x:row r="107" ht="33" customHeight="1">
      <x:c r="A107" s="3" t="str"/>
      <x:c r="B107" s="3" t="str">
        <x:f>IF(A107="","",COUNTIFS('Evaluation Log'!$A$2:$A$501,$A107,'Evaluation Log'!$B$2:$B$501,$B$3))</x:f>
      </x:c>
      <x:c r="C107" s="3" t="str">
        <x:f>IF(A107="","",COUNTIFS('Evaluation Log'!$A$2:$A$501,$A107,'Evaluation Log'!$B$2:$B$501,$B$4))</x:f>
      </x:c>
      <x:c r="D107" s="3" t="str">
        <x:f>IF(A107="","",IF(OR(B107&lt;&gt;1,C107&lt;&gt;1),"CHECK_IDS",IFERROR(IF(AND(_xlfn.XLOOKUP($A107&amp;"|"&amp;$B$3,'Evaluation Log'!$AJ$2:$AJ$501,'Evaluation Log'!$AL$2:$AL$501,"MISSING",0)="YES",_xlfn.XLOOKUP($A107&amp;"|"&amp;$B$3,'Evaluation Log'!$AJ$2:$AJ$501,'Evaluation Log'!$P$2:$P$501,"MISSING",0)=$B$6,_xlfn.XLOOKUP($A107&amp;"|"&amp;$B$3,'Evaluation Log'!$AJ$2:$AJ$501,'Evaluation Log'!$D$2:$D$501,"MISSING",0)=$B$5),_xlfn.XLOOKUP($A107&amp;"|"&amp;$B$3,'Evaluation Log'!$AJ$2:$AJ$501,'Evaluation Log'!$L$2:$L$501,"MISSING",0),"NOT_REVIEWED"),"MISSING")))</x:f>
      </x:c>
      <x:c r="E107" s="3" t="str">
        <x:f>IF(A107="","",IF(OR(B107&lt;&gt;1,C107&lt;&gt;1),"CHECK_IDS",IFERROR(IF(AND(_xlfn.XLOOKUP($A107&amp;"|"&amp;$B$4,'Evaluation Log'!$AJ$2:$AJ$501,'Evaluation Log'!$AL$2:$AL$501,"MISSING",0)="YES",_xlfn.XLOOKUP($A107&amp;"|"&amp;$B$4,'Evaluation Log'!$AJ$2:$AJ$501,'Evaluation Log'!$P$2:$P$501,"MISSING",0)=$B$6,_xlfn.XLOOKUP($A107&amp;"|"&amp;$B$4,'Evaluation Log'!$AJ$2:$AJ$501,'Evaluation Log'!$D$2:$D$501,"MISSING",0)=$B$5),_xlfn.XLOOKUP($A107&amp;"|"&amp;$B$4,'Evaluation Log'!$AJ$2:$AJ$501,'Evaluation Log'!$L$2:$L$501,"MISSING",0),"NOT_REVIEWED"),"MISSING")))</x:f>
      </x:c>
      <x:c r="F107" s="3" t="str">
        <x:f>IF(A107="","",IF(OR(B107&lt;&gt;1,C107&lt;&gt;1),"MISSING",IFERROR(IF(_xlfn.XLOOKUP($A107&amp;"|"&amp;$B$3,'Evaluation Log'!$AJ$2:$AJ$501,'Evaluation Log'!$AN$2:$AN$501,"MISSING",0)=_xlfn.XLOOKUP($A107&amp;"|"&amp;$B$4,'Evaluation Log'!$AJ$2:$AJ$501,'Evaluation Log'!$AN$2:$AN$501,"MISSING",0),"YES","NO"),"MISSING")))</x:f>
      </x:c>
      <x:c r="G107" s="3" t="str">
        <x:f>IF(A107="","",IF(OR(B107&lt;&gt;1,C107&lt;&gt;1),"MISSING",IFERROR(IF(_xlfn.XLOOKUP($A107&amp;"|"&amp;$B$3,'Evaluation Log'!$AJ$2:$AJ$501,'Evaluation Log'!$K$2:$K$501,"MISSING",0)=_xlfn.XLOOKUP($A107&amp;"|"&amp;$B$4,'Evaluation Log'!$AJ$2:$AJ$501,'Evaluation Log'!$K$2:$K$501,"MISSING",0),"NO","YES"),"MISSING")))</x:f>
      </x:c>
      <x:c r="H107" s="3" t="str">
        <x:f>IF(A107="","",IF(OR(B107&lt;&gt;1,C107&lt;&gt;1),"CHECK_IDS",IF(F107&lt;&gt;"YES","CHANGED_BRIEF",IF(OR(AND(D107&lt;&gt;"PASS",D107&lt;&gt;"FAIL"),AND(E107&lt;&gt;"PASS",E107&lt;&gt;"FAIL")),"NOT_REVIEWED",IF(G107&lt;&gt;"YES","UNCHANGED_POST",D107&amp;"_TO_"&amp;E107)))))</x:f>
      </x:c>
      <x:c r="I107" s="3" t="str"/>
    </x:row>
    <x:row r="108" ht="33" customHeight="1">
      <x:c r="A108" s="3" t="str"/>
      <x:c r="B108" s="3" t="str">
        <x:f>IF(A108="","",COUNTIFS('Evaluation Log'!$A$2:$A$501,$A108,'Evaluation Log'!$B$2:$B$501,$B$3))</x:f>
      </x:c>
      <x:c r="C108" s="3" t="str">
        <x:f>IF(A108="","",COUNTIFS('Evaluation Log'!$A$2:$A$501,$A108,'Evaluation Log'!$B$2:$B$501,$B$4))</x:f>
      </x:c>
      <x:c r="D108" s="3" t="str">
        <x:f>IF(A108="","",IF(OR(B108&lt;&gt;1,C108&lt;&gt;1),"CHECK_IDS",IFERROR(IF(AND(_xlfn.XLOOKUP($A108&amp;"|"&amp;$B$3,'Evaluation Log'!$AJ$2:$AJ$501,'Evaluation Log'!$AL$2:$AL$501,"MISSING",0)="YES",_xlfn.XLOOKUP($A108&amp;"|"&amp;$B$3,'Evaluation Log'!$AJ$2:$AJ$501,'Evaluation Log'!$P$2:$P$501,"MISSING",0)=$B$6,_xlfn.XLOOKUP($A108&amp;"|"&amp;$B$3,'Evaluation Log'!$AJ$2:$AJ$501,'Evaluation Log'!$D$2:$D$501,"MISSING",0)=$B$5),_xlfn.XLOOKUP($A108&amp;"|"&amp;$B$3,'Evaluation Log'!$AJ$2:$AJ$501,'Evaluation Log'!$L$2:$L$501,"MISSING",0),"NOT_REVIEWED"),"MISSING")))</x:f>
      </x:c>
      <x:c r="E108" s="3" t="str">
        <x:f>IF(A108="","",IF(OR(B108&lt;&gt;1,C108&lt;&gt;1),"CHECK_IDS",IFERROR(IF(AND(_xlfn.XLOOKUP($A108&amp;"|"&amp;$B$4,'Evaluation Log'!$AJ$2:$AJ$501,'Evaluation Log'!$AL$2:$AL$501,"MISSING",0)="YES",_xlfn.XLOOKUP($A108&amp;"|"&amp;$B$4,'Evaluation Log'!$AJ$2:$AJ$501,'Evaluation Log'!$P$2:$P$501,"MISSING",0)=$B$6,_xlfn.XLOOKUP($A108&amp;"|"&amp;$B$4,'Evaluation Log'!$AJ$2:$AJ$501,'Evaluation Log'!$D$2:$D$501,"MISSING",0)=$B$5),_xlfn.XLOOKUP($A108&amp;"|"&amp;$B$4,'Evaluation Log'!$AJ$2:$AJ$501,'Evaluation Log'!$L$2:$L$501,"MISSING",0),"NOT_REVIEWED"),"MISSING")))</x:f>
      </x:c>
      <x:c r="F108" s="3" t="str">
        <x:f>IF(A108="","",IF(OR(B108&lt;&gt;1,C108&lt;&gt;1),"MISSING",IFERROR(IF(_xlfn.XLOOKUP($A108&amp;"|"&amp;$B$3,'Evaluation Log'!$AJ$2:$AJ$501,'Evaluation Log'!$AN$2:$AN$501,"MISSING",0)=_xlfn.XLOOKUP($A108&amp;"|"&amp;$B$4,'Evaluation Log'!$AJ$2:$AJ$501,'Evaluation Log'!$AN$2:$AN$501,"MISSING",0),"YES","NO"),"MISSING")))</x:f>
      </x:c>
      <x:c r="G108" s="3" t="str">
        <x:f>IF(A108="","",IF(OR(B108&lt;&gt;1,C108&lt;&gt;1),"MISSING",IFERROR(IF(_xlfn.XLOOKUP($A108&amp;"|"&amp;$B$3,'Evaluation Log'!$AJ$2:$AJ$501,'Evaluation Log'!$K$2:$K$501,"MISSING",0)=_xlfn.XLOOKUP($A108&amp;"|"&amp;$B$4,'Evaluation Log'!$AJ$2:$AJ$501,'Evaluation Log'!$K$2:$K$501,"MISSING",0),"NO","YES"),"MISSING")))</x:f>
      </x:c>
      <x:c r="H108" s="3" t="str">
        <x:f>IF(A108="","",IF(OR(B108&lt;&gt;1,C108&lt;&gt;1),"CHECK_IDS",IF(F108&lt;&gt;"YES","CHANGED_BRIEF",IF(OR(AND(D108&lt;&gt;"PASS",D108&lt;&gt;"FAIL"),AND(E108&lt;&gt;"PASS",E108&lt;&gt;"FAIL")),"NOT_REVIEWED",IF(G108&lt;&gt;"YES","UNCHANGED_POST",D108&amp;"_TO_"&amp;E108)))))</x:f>
      </x:c>
      <x:c r="I108" s="3" t="str"/>
    </x:row>
    <x:row r="109" ht="33" customHeight="1">
      <x:c r="A109" s="3" t="str"/>
      <x:c r="B109" s="3" t="str"/>
      <x:c r="C109" s="3" t="str"/>
      <x:c r="D109" s="3" t="str"/>
      <x:c r="E109" s="3" t="str"/>
      <x:c r="F109" s="3" t="str"/>
      <x:c r="G109" s="3" t="str"/>
      <x:c r="H109" s="3" t="str"/>
      <x:c r="I109" s="3" t="str"/>
    </x:row>
    <x:row r="110" ht="33" customHeight="1">
      <x:c r="A110" s="3" t="str"/>
      <x:c r="B110" s="3" t="str"/>
      <x:c r="C110" s="3" t="str"/>
      <x:c r="D110" s="3" t="str"/>
      <x:c r="E110" s="3" t="str"/>
      <x:c r="F110" s="3" t="str"/>
      <x:c r="G110" s="3" t="str"/>
      <x:c r="H110" s="3" t="str"/>
      <x:c r="I110" s="3" t="str"/>
    </x:row>
    <x:row r="111" ht="33" customHeight="1">
      <x:c r="A111" s="3" t="str">
        <x:v>FAIL → PASS</x:v>
      </x:c>
      <x:c r="B111" s="3" t="n">
        <x:f>COUNTIF(H9:H108,"FAIL_TO_PASS")</x:f>
        <x:v>0</x:v>
      </x:c>
      <x:c r="C111" s="3" t="str"/>
      <x:c r="D111" s="3" t="str"/>
      <x:c r="E111" s="3" t="str"/>
      <x:c r="F111" s="3" t="str"/>
      <x:c r="G111" s="3" t="str"/>
      <x:c r="H111" s="3" t="str"/>
      <x:c r="I111" s="3" t="str"/>
    </x:row>
    <x:row r="112" ht="33" customHeight="1">
      <x:c r="A112" s="3" t="str">
        <x:v>PASS → FAIL</x:v>
      </x:c>
      <x:c r="B112" s="3" t="n">
        <x:f>COUNTIF(H9:H108,"PASS_TO_FAIL")</x:f>
        <x:v>0</x:v>
      </x:c>
      <x:c r="C112" s="3" t="str"/>
      <x:c r="D112" s="3" t="str"/>
      <x:c r="E112" s="3" t="str"/>
      <x:c r="F112" s="3" t="str"/>
      <x:c r="G112" s="3" t="str"/>
      <x:c r="H112" s="3" t="str"/>
      <x:c r="I112" s="3" t="str"/>
    </x:row>
    <x:row r="113" ht="33" customHeight="1">
      <x:c r="A113" s="3" t="str">
        <x:v>PASS → PASS</x:v>
      </x:c>
      <x:c r="B113" s="3" t="n">
        <x:f>COUNTIF(H9:H108,"PASS_TO_PASS")</x:f>
        <x:v>0</x:v>
      </x:c>
      <x:c r="C113" s="3" t="str"/>
      <x:c r="D113" s="3" t="str"/>
      <x:c r="E113" s="3" t="str"/>
      <x:c r="F113" s="3" t="str"/>
      <x:c r="G113" s="3" t="str"/>
      <x:c r="H113" s="3" t="str"/>
      <x:c r="I113" s="3" t="str"/>
    </x:row>
    <x:row r="114" ht="33" customHeight="1">
      <x:c r="A114" s="3" t="str">
        <x:v>FAIL → FAIL</x:v>
      </x:c>
      <x:c r="B114" s="3" t="n">
        <x:f>COUNTIF(H9:H108,"FAIL_TO_FAIL")</x:f>
        <x:v>0</x:v>
      </x:c>
      <x:c r="C114" s="3" t="str"/>
      <x:c r="D114" s="3" t="str"/>
      <x:c r="E114" s="3" t="str"/>
      <x:c r="F114" s="3" t="str"/>
      <x:c r="G114" s="3" t="str"/>
      <x:c r="H114" s="3" t="str"/>
      <x:c r="I114" s="3" t="str"/>
    </x:row>
    <x:row r="115" ht="33" customHeight="1">
      <x:c r="A115" s="3" t="str"/>
      <x:c r="B115" s="3" t="str"/>
      <x:c r="C115" s="3" t="str"/>
      <x:c r="D115" s="3" t="str"/>
      <x:c r="E115" s="3" t="str"/>
      <x:c r="F115" s="3" t="str"/>
      <x:c r="G115" s="3" t="str"/>
      <x:c r="H115" s="3" t="str"/>
      <x:c r="I115" s="3" t="str"/>
    </x:row>
    <x:row r="116" ht="48" customHeight="1">
      <x:c r="A116" s="3" t="str">
        <x:v>Read coverage</x:v>
      </x:c>
      <x:c r="B116" s="3" t="str">
        <x:v>Count CHECK_IDS, CHANGED_BRIEF, NOT_REVIEWED and UNCHANGED_POST separately. They are excluded from the four changed-output outcomes above.</x:v>
      </x:c>
      <x:c r="C116" s="3" t="str"/>
      <x:c r="D116" s="3" t="str"/>
      <x:c r="E116" s="3" t="str"/>
      <x:c r="F116" s="3" t="str"/>
      <x:c r="G116" s="3" t="str"/>
      <x:c r="H116" s="3" t="str"/>
      <x:c r="I116" s="3" t="str"/>
    </x:row>
  </x:sheetData>
  <x:mergeCells>
    <x:mergeCell ref="A1:I1"/>
    <x:mergeCell ref="A2:I2"/>
    <x:mergeCell ref="B3:C3"/>
    <x:mergeCell ref="B4:C4"/>
    <x:mergeCell ref="B5:C5"/>
    <x:mergeCell ref="B6:C6"/>
    <x:mergeCell ref="B116:I116"/>
  </x:mergeCells>
  <x:conditionalFormatting sqref="H9:H108">
    <x:cfRule type="expression" dxfId="6" priority="1">
      <x:formula>H9="PASS_TO_FAIL"</x:formula>
    </x:cfRule>
  </x:conditionalFormatting>
  <x:dataValidations count="1">
    <x:dataValidation type="list" sqref="B5">
      <x:formula1>"DEVELOPMENT,RESERVED"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440000534057617" hidden="0" customWidth="1"/>
    <x:col min="2" max="2" width="10" hidden="0" customWidth="1"/>
    <x:col min="3" max="3" width="26.670000076293945" hidden="0" customWidth="1"/>
    <x:col min="4" max="4" width="42.220001220703125" hidden="0" customWidth="1"/>
    <x:col min="5" max="5" width="42.220001220703125" hidden="0" customWidth="1"/>
    <x:col min="6" max="6" width="35.560001373291016" hidden="0" customWidth="1"/>
  </x:cols>
  <x:sheetData>
    <x:row r="1" ht="31.5" customHeight="1">
      <x:c r="A1" s="5" t="str">
        <x:v>FAILURE PATTERNS</x:v>
      </x:c>
      <x:c r="B1" s="5" t="str">
        <x:v>Count</x:v>
      </x:c>
      <x:c r="C1" s="5" t="str">
        <x:v>Evidence case IDs</x:v>
      </x:c>
      <x:c r="D1" s="5" t="str">
        <x:v>Hypothesis</x:v>
      </x:c>
      <x:c r="E1" s="5" t="str">
        <x:v>Targeted fix</x:v>
      </x:c>
      <x:c r="F1" s="5" t="str">
        <x:v>Verification</x:v>
      </x:c>
    </x:row>
    <x:row r="2" ht="33" customHeight="1">
      <x:c r="A2" s="3" t="str">
        <x:v>Run_ID</x:v>
      </x:c>
      <x:c r="B2" s="3" t="str">
        <x:v>imported-examples</x:v>
      </x:c>
      <x:c r="C2" s="3" t="str"/>
      <x:c r="D2" s="3" t="str"/>
      <x:c r="E2" s="3" t="str"/>
      <x:c r="F2" s="3" t="str"/>
    </x:row>
    <x:row r="3" ht="42" customHeight="1">
      <x:c r="A3" s="3" t="str">
        <x:v>Enter tags observed in human FAIL critiques. Counts use this Run_ID and complete v2 human labels. Categories are not ratings.</x:v>
      </x:c>
      <x:c r="B3" s="3" t="str"/>
      <x:c r="C3" s="3" t="str"/>
      <x:c r="D3" s="3" t="str"/>
      <x:c r="E3" s="3" t="str"/>
      <x:c r="F3" s="3" t="str"/>
    </x:row>
    <x:row r="4" ht="36" customHeight="1">
      <x:c r="A4" s="3" t="str">
        <x:v>Failure_Tag</x:v>
      </x:c>
      <x:c r="B4" s="3" t="str">
        <x:v>Count</x:v>
      </x:c>
      <x:c r="C4" s="3" t="str">
        <x:v>Evidence case IDs</x:v>
      </x:c>
      <x:c r="D4" s="3" t="str">
        <x:v>Hypothesis</x:v>
      </x:c>
      <x:c r="E4" s="3" t="str">
        <x:v>Targeted fix</x:v>
      </x:c>
      <x:c r="F4" s="3" t="str">
        <x:v>Verification</x:v>
      </x:c>
    </x:row>
    <x:row r="5" ht="33" customHeight="1">
      <x:c r="A5" s="3"/>
      <x:c r="B5" s="3" t="str">
        <x:f>IF(A5="","",COUNTIFS('Evaluation Log'!$B$2:$B$501,$B$2,'Evaluation Log'!$N$2:$N$501,A5,'Evaluation Log'!$L$2:$L$501,"FAIL",'Evaluation Log'!$AL$2:$AL$501,"YES"))</x:f>
      </x:c>
      <x:c r="C5" s="3"/>
      <x:c r="D5" s="3"/>
      <x:c r="E5" s="3"/>
      <x:c r="F5" s="3"/>
    </x:row>
    <x:row r="6" ht="33" customHeight="1">
      <x:c r="A6" s="3"/>
      <x:c r="B6" s="3" t="str">
        <x:f>IF(A6="","",COUNTIFS('Evaluation Log'!$B$2:$B$501,$B$2,'Evaluation Log'!$N$2:$N$501,A6,'Evaluation Log'!$L$2:$L$501,"FAIL",'Evaluation Log'!$AL$2:$AL$501,"YES"))</x:f>
      </x:c>
      <x:c r="C6" s="3"/>
      <x:c r="D6" s="3"/>
      <x:c r="E6" s="3"/>
      <x:c r="F6" s="3"/>
    </x:row>
    <x:row r="7" ht="33" customHeight="1">
      <x:c r="A7" s="3"/>
      <x:c r="B7" s="3" t="str">
        <x:f>IF(A7="","",COUNTIFS('Evaluation Log'!$B$2:$B$501,$B$2,'Evaluation Log'!$N$2:$N$501,A7,'Evaluation Log'!$L$2:$L$501,"FAIL",'Evaluation Log'!$AL$2:$AL$501,"YES"))</x:f>
      </x:c>
      <x:c r="C7" s="3"/>
      <x:c r="D7" s="3"/>
      <x:c r="E7" s="3"/>
      <x:c r="F7" s="3"/>
    </x:row>
    <x:row r="8" ht="33" customHeight="1">
      <x:c r="A8" s="3"/>
      <x:c r="B8" s="3" t="str">
        <x:f>IF(A8="","",COUNTIFS('Evaluation Log'!$B$2:$B$501,$B$2,'Evaluation Log'!$N$2:$N$501,A8,'Evaluation Log'!$L$2:$L$501,"FAIL",'Evaluation Log'!$AL$2:$AL$501,"YES"))</x:f>
      </x:c>
      <x:c r="C8" s="3"/>
      <x:c r="D8" s="3"/>
      <x:c r="E8" s="3"/>
      <x:c r="F8" s="3"/>
    </x:row>
    <x:row r="9" ht="33" customHeight="1">
      <x:c r="A9" s="3"/>
      <x:c r="B9" s="3" t="str">
        <x:f>IF(A9="","",COUNTIFS('Evaluation Log'!$B$2:$B$501,$B$2,'Evaluation Log'!$N$2:$N$501,A9,'Evaluation Log'!$L$2:$L$501,"FAIL",'Evaluation Log'!$AL$2:$AL$501,"YES"))</x:f>
      </x:c>
      <x:c r="C9" s="3"/>
      <x:c r="D9" s="3"/>
      <x:c r="E9" s="3"/>
      <x:c r="F9" s="3"/>
    </x:row>
    <x:row r="10" ht="33" customHeight="1">
      <x:c r="A10" s="3"/>
      <x:c r="B10" s="3" t="str">
        <x:f>IF(A10="","",COUNTIFS('Evaluation Log'!$B$2:$B$501,$B$2,'Evaluation Log'!$N$2:$N$501,A10,'Evaluation Log'!$L$2:$L$501,"FAIL",'Evaluation Log'!$AL$2:$AL$501,"YES"))</x:f>
      </x:c>
      <x:c r="C10" s="3"/>
      <x:c r="D10" s="3"/>
      <x:c r="E10" s="3"/>
      <x:c r="F10" s="3"/>
    </x:row>
    <x:row r="11" ht="33" customHeight="1">
      <x:c r="A11" s="3"/>
      <x:c r="B11" s="3" t="str">
        <x:f>IF(A11="","",COUNTIFS('Evaluation Log'!$B$2:$B$501,$B$2,'Evaluation Log'!$N$2:$N$501,A11,'Evaluation Log'!$L$2:$L$501,"FAIL",'Evaluation Log'!$AL$2:$AL$501,"YES"))</x:f>
      </x:c>
      <x:c r="C11" s="3"/>
      <x:c r="D11" s="3"/>
      <x:c r="E11" s="3"/>
      <x:c r="F11" s="3"/>
    </x:row>
    <x:row r="12" ht="33" customHeight="1">
      <x:c r="A12" s="3"/>
      <x:c r="B12" s="3" t="str">
        <x:f>IF(A12="","",COUNTIFS('Evaluation Log'!$B$2:$B$501,$B$2,'Evaluation Log'!$N$2:$N$501,A12,'Evaluation Log'!$L$2:$L$501,"FAIL",'Evaluation Log'!$AL$2:$AL$501,"YES"))</x:f>
      </x:c>
      <x:c r="C12" s="3"/>
      <x:c r="D12" s="3"/>
      <x:c r="E12" s="3"/>
      <x:c r="F12" s="3"/>
    </x:row>
    <x:row r="13" ht="33" customHeight="1">
      <x:c r="A13" s="3"/>
      <x:c r="B13" s="3" t="str">
        <x:f>IF(A13="","",COUNTIFS('Evaluation Log'!$B$2:$B$501,$B$2,'Evaluation Log'!$N$2:$N$501,A13,'Evaluation Log'!$L$2:$L$501,"FAIL",'Evaluation Log'!$AL$2:$AL$501,"YES"))</x:f>
      </x:c>
      <x:c r="C13" s="3"/>
      <x:c r="D13" s="3"/>
      <x:c r="E13" s="3"/>
      <x:c r="F13" s="3"/>
    </x:row>
    <x:row r="14" ht="33" customHeight="1">
      <x:c r="A14" s="3"/>
      <x:c r="B14" s="3" t="str">
        <x:f>IF(A14="","",COUNTIFS('Evaluation Log'!$B$2:$B$501,$B$2,'Evaluation Log'!$N$2:$N$501,A14,'Evaluation Log'!$L$2:$L$501,"FAIL",'Evaluation Log'!$AL$2:$AL$501,"YES"))</x:f>
      </x:c>
      <x:c r="C14" s="3"/>
      <x:c r="D14" s="3"/>
      <x:c r="E14" s="3"/>
      <x:c r="F14" s="3"/>
    </x:row>
    <x:row r="15" ht="33" customHeight="1">
      <x:c r="A15" s="3"/>
      <x:c r="B15" s="3" t="str">
        <x:f>IF(A15="","",COUNTIFS('Evaluation Log'!$B$2:$B$501,$B$2,'Evaluation Log'!$N$2:$N$501,A15,'Evaluation Log'!$L$2:$L$501,"FAIL",'Evaluation Log'!$AL$2:$AL$501,"YES"))</x:f>
      </x:c>
      <x:c r="C15" s="3"/>
      <x:c r="D15" s="3"/>
      <x:c r="E15" s="3"/>
      <x:c r="F15" s="3"/>
    </x:row>
    <x:row r="16" ht="33" customHeight="1">
      <x:c r="A16" s="3"/>
      <x:c r="B16" s="3" t="str">
        <x:f>IF(A16="","",COUNTIFS('Evaluation Log'!$B$2:$B$501,$B$2,'Evaluation Log'!$N$2:$N$501,A16,'Evaluation Log'!$L$2:$L$501,"FAIL",'Evaluation Log'!$AL$2:$AL$501,"YES"))</x:f>
      </x:c>
      <x:c r="C16" s="3"/>
      <x:c r="D16" s="3"/>
      <x:c r="E16" s="3"/>
      <x:c r="F16" s="3"/>
    </x:row>
    <x:row r="17" ht="33" customHeight="1">
      <x:c r="A17" s="3"/>
      <x:c r="B17" s="3" t="str">
        <x:f>IF(A17="","",COUNTIFS('Evaluation Log'!$B$2:$B$501,$B$2,'Evaluation Log'!$N$2:$N$501,A17,'Evaluation Log'!$L$2:$L$501,"FAIL",'Evaluation Log'!$AL$2:$AL$501,"YES"))</x:f>
      </x:c>
      <x:c r="C17" s="3"/>
      <x:c r="D17" s="3"/>
      <x:c r="E17" s="3"/>
      <x:c r="F17" s="3"/>
    </x:row>
    <x:row r="18" ht="33" customHeight="1">
      <x:c r="A18" s="3"/>
      <x:c r="B18" s="3" t="str">
        <x:f>IF(A18="","",COUNTIFS('Evaluation Log'!$B$2:$B$501,$B$2,'Evaluation Log'!$N$2:$N$501,A18,'Evaluation Log'!$L$2:$L$501,"FAIL",'Evaluation Log'!$AL$2:$AL$501,"YES"))</x:f>
      </x:c>
      <x:c r="C18" s="3"/>
      <x:c r="D18" s="3"/>
      <x:c r="E18" s="3"/>
      <x:c r="F18" s="3"/>
    </x:row>
    <x:row r="19" ht="33" customHeight="1">
      <x:c r="A19" s="3"/>
      <x:c r="B19" s="3" t="str">
        <x:f>IF(A19="","",COUNTIFS('Evaluation Log'!$B$2:$B$501,$B$2,'Evaluation Log'!$N$2:$N$501,A19,'Evaluation Log'!$L$2:$L$501,"FAIL",'Evaluation Log'!$AL$2:$AL$501,"YES"))</x:f>
      </x:c>
      <x:c r="C19" s="3"/>
      <x:c r="D19" s="3"/>
      <x:c r="E19" s="3"/>
      <x:c r="F19" s="3"/>
    </x:row>
    <x:row r="20" ht="33" customHeight="1">
      <x:c r="A20" s="3"/>
      <x:c r="B20" s="3" t="str">
        <x:f>IF(A20="","",COUNTIFS('Evaluation Log'!$B$2:$B$501,$B$2,'Evaluation Log'!$N$2:$N$501,A20,'Evaluation Log'!$L$2:$L$501,"FAIL",'Evaluation Log'!$AL$2:$AL$501,"YES"))</x:f>
      </x:c>
      <x:c r="C20" s="3"/>
      <x:c r="D20" s="3"/>
      <x:c r="E20" s="3"/>
      <x:c r="F20" s="3"/>
    </x:row>
    <x:row r="21" ht="33" customHeight="1">
      <x:c r="A21" s="3"/>
      <x:c r="B21" s="3" t="str">
        <x:f>IF(A21="","",COUNTIFS('Evaluation Log'!$B$2:$B$501,$B$2,'Evaluation Log'!$N$2:$N$501,A21,'Evaluation Log'!$L$2:$L$501,"FAIL",'Evaluation Log'!$AL$2:$AL$501,"YES"))</x:f>
      </x:c>
      <x:c r="C21" s="3"/>
      <x:c r="D21" s="3"/>
      <x:c r="E21" s="3"/>
      <x:c r="F21" s="3"/>
    </x:row>
    <x:row r="22" ht="33" customHeight="1">
      <x:c r="A22" s="3"/>
      <x:c r="B22" s="3" t="str">
        <x:f>IF(A22="","",COUNTIFS('Evaluation Log'!$B$2:$B$501,$B$2,'Evaluation Log'!$N$2:$N$501,A22,'Evaluation Log'!$L$2:$L$501,"FAIL",'Evaluation Log'!$AL$2:$AL$501,"YES"))</x:f>
      </x:c>
      <x:c r="C22" s="3"/>
      <x:c r="D22" s="3"/>
      <x:c r="E22" s="3"/>
      <x:c r="F22" s="3"/>
    </x:row>
    <x:row r="23" ht="33" customHeight="1">
      <x:c r="A23" s="3"/>
      <x:c r="B23" s="3" t="str">
        <x:f>IF(A23="","",COUNTIFS('Evaluation Log'!$B$2:$B$501,$B$2,'Evaluation Log'!$N$2:$N$501,A23,'Evaluation Log'!$L$2:$L$501,"FAIL",'Evaluation Log'!$AL$2:$AL$501,"YES"))</x:f>
      </x:c>
      <x:c r="C23" s="3"/>
      <x:c r="D23" s="3"/>
      <x:c r="E23" s="3"/>
      <x:c r="F23" s="3"/>
    </x:row>
    <x:row r="24" ht="33" customHeight="1">
      <x:c r="A24" s="3"/>
      <x:c r="B24" s="3" t="str">
        <x:f>IF(A24="","",COUNTIFS('Evaluation Log'!$B$2:$B$501,$B$2,'Evaluation Log'!$N$2:$N$501,A24,'Evaluation Log'!$L$2:$L$501,"FAIL",'Evaluation Log'!$AL$2:$AL$501,"YES"))</x:f>
      </x:c>
      <x:c r="C24" s="3"/>
      <x:c r="D24" s="3"/>
      <x:c r="E24" s="3"/>
      <x:c r="F24" s="3"/>
    </x:row>
  </x:sheetData>
  <x:mergeCells>
    <x:mergeCell ref="A3:F3"/>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5.5600004196167" hidden="0" customWidth="1"/>
    <x:col min="2" max="2" width="17.780000686645508" hidden="0" customWidth="1"/>
    <x:col min="3" max="3" width="24.440000534057617" hidden="0" customWidth="1"/>
    <x:col min="4" max="4" width="64.44000244140625" hidden="0" customWidth="1"/>
    <x:col min="5" max="5" width="36.66999816894531" hidden="0" customWidth="1"/>
    <x:col min="6" max="6" width="36.66999816894531" hidden="0" customWidth="1"/>
    <x:col min="7" max="7" width="17.780000686645508" hidden="0" customWidth="1"/>
    <x:col min="8" max="8" width="16.670000076293945" hidden="0" customWidth="1"/>
    <x:col min="9" max="9" width="33.33000183105469" hidden="0" customWidth="1"/>
  </x:cols>
  <x:sheetData>
    <x:row r="1" ht="42" customHeight="1">
      <x:c r="A1" s="5" t="str">
        <x:v>Test_ID</x:v>
      </x:c>
      <x:c r="B1" s="5" t="str">
        <x:v>Run_ID</x:v>
      </x:c>
      <x:c r="C1" s="5" t="str">
        <x:v>Failure_Tag</x:v>
      </x:c>
      <x:c r="D1" s="5" t="str">
        <x:v>Evidence / critique</x:v>
      </x:c>
      <x:c r="E1" s="5" t="str">
        <x:v>Requirement violated</x:v>
      </x:c>
      <x:c r="F1" s="5" t="str">
        <x:v>Proposed fix</x:v>
      </x:c>
      <x:c r="G1" s="5" t="str">
        <x:v>Rerun Run_ID</x:v>
      </x:c>
      <x:c r="H1" s="5" t="str">
        <x:v>Human outcome</x:v>
      </x:c>
      <x:c r="I1" s="5" t="str">
        <x:v>Trace_Link</x:v>
      </x:c>
    </x:row>
    <x:row r="2" ht="165" customHeight="1">
      <x:c r="A2" s="3" t="str">
        <x:v>POST_004</x:v>
      </x:c>
      <x:c r="B2" s="3" t="str">
        <x:v>imported-examples</x:v>
      </x:c>
      <x:c r="C2" s="3" t="str"/>
      <x:c r="D2" s="3" t="str">
        <x:v>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E2" s="3" t="str">
        <x:v>Pending v2 review; source context required.</x:v>
      </x:c>
      <x:c r="F2" s="3" t="str"/>
      <x:c r="G2" s="3" t="str"/>
      <x:c r="H2" s="3" t="str"/>
      <x:c r="I2" s="3" t="str"/>
    </x:row>
  </x:sheetData>
  <x:dataValidations count="1">
    <x:dataValidation type="list" sqref="H2:H101">
      <x:formula1>"PASS,FAIL"</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6.110000610351562" hidden="0" customWidth="1"/>
    <x:col min="2" max="2" width="31.110000610351562" hidden="0" customWidth="1"/>
    <x:col min="3" max="3" width="43.33000183105469" hidden="0" customWidth="1"/>
    <x:col min="4" max="4" width="48.88999938964844" hidden="0" customWidth="1"/>
    <x:col min="5" max="5" width="15" hidden="0" customWidth="1"/>
    <x:col min="6" max="6" width="48.88999938964844" hidden="0" customWidth="1"/>
    <x:col min="7" max="7" width="25.559999465942383" hidden="0" customWidth="1"/>
  </x:cols>
  <x:sheetData>
    <x:row r="1" ht="33" customHeight="1">
      <x:c r="A1" s="5" t="str">
        <x:v>CONSTRUCTED TEACHING EXAMPLES — human illustrations, no model results</x:v>
      </x:c>
      <x:c r="B1" s="5" t="str"/>
      <x:c r="C1" s="5" t="str"/>
      <x:c r="D1" s="5" t="str"/>
      <x:c r="E1" s="5" t="str"/>
      <x:c r="F1" s="5" t="str"/>
      <x:c r="G1" s="5" t="str"/>
    </x:row>
    <x:row r="2" ht="52.5" customHeight="1">
      <x:c r="A2" s="3" t="str">
        <x:v>Use these to understand decisive critiques. Create your own representative cases and keep challenge cases identifiable.</x:v>
      </x:c>
      <x:c r="B2" s="3" t="str"/>
      <x:c r="C2" s="3" t="str"/>
      <x:c r="D2" s="3" t="str"/>
      <x:c r="E2" s="3" t="str"/>
      <x:c r="F2" s="3" t="str"/>
      <x:c r="G2" s="3" t="str"/>
    </x:row>
    <x:row r="3" ht="33" customHeight="1">
      <x:c r="A3" s="3" t="str"/>
      <x:c r="B3" s="3" t="str"/>
      <x:c r="C3" s="3" t="str"/>
      <x:c r="D3" s="3" t="str"/>
      <x:c r="E3" s="3" t="str"/>
      <x:c r="F3" s="3" t="str"/>
      <x:c r="G3" s="3" t="str"/>
    </x:row>
    <x:row r="4" ht="42" customHeight="1">
      <x:c r="A4" s="14" t="str">
        <x:v>Test_ID</x:v>
      </x:c>
      <x:c r="B4" s="14" t="str">
        <x:v>Brief</x:v>
      </x:c>
      <x:c r="C4" s="14" t="str">
        <x:v>Approved source text</x:v>
      </x:c>
      <x:c r="D4" s="14" t="str">
        <x:v>Candidate post</x:v>
      </x:c>
      <x:c r="E4" s="14" t="str">
        <x:v>Human decision</x:v>
      </x:c>
      <x:c r="F4" s="14" t="str">
        <x:v>Human critique</x:v>
      </x:c>
      <x:c r="G4" s="14" t="str">
        <x:v>Failure tag</x:v>
      </x:c>
    </x:row>
    <x:row r="5" ht="120" customHeight="1">
      <x:c r="A5" s="3" t="str">
        <x:v>DEMO_001</x:v>
      </x:c>
      <x:c r="B5" s="3" t="str">
        <x:v>Name two evaluation resources and explain their uses.</x:v>
      </x:c>
      <x:c r="C5" s="3" t="str">
        <x:v>Approved fictional brief: Resource A provides a labeled test-case template. Resource B provides a failure-analysis worksheet. No link or CTA is required.</x:v>
      </x:c>
      <x:c r="D5" s="3" t="str">
        <x:v>Start with Resource A to record labeled test cases. Use Resource B to group failures and choose a targeted fix.</x:v>
      </x:c>
      <x:c r="E5" s="3" t="str">
        <x:v>PASS</x:v>
      </x:c>
      <x:c r="F5" s="3" t="str">
        <x:v>Names two approved resources and explains the use of each. The brief does not require a CTA or link.</x:v>
      </x:c>
      <x:c r="G5" s="3" t="str"/>
    </x:row>
    <x:row r="6" ht="120" customHeight="1">
      <x:c r="A6" s="3" t="str">
        <x:v>DEMO_002</x:v>
      </x:c>
      <x:c r="B6" s="3" t="str">
        <x:v>Name two evaluation resources and explain their uses.</x:v>
      </x:c>
      <x:c r="C6" s="3" t="str">
        <x:v>Approved fictional brief: Resource A provides a labeled test-case template. Resource B provides a failure-analysis worksheet. No attachment accompanies the post.</x:v>
      </x:c>
      <x:c r="D6" s="3" t="str">
        <x:v>Here are the evaluation resources you need: great frameworks, helpful tutorials and practical tools. Start evaluating today!</x:v>
      </x:c>
      <x:c r="E6" s="3" t="str">
        <x:v>FAIL</x:v>
      </x:c>
      <x:c r="F6" s="3" t="str">
        <x:v>Promises resources but names none. The requested two resources and their uses are absent; no attachment supplies them.</x:v>
      </x:c>
      <x:c r="G6" s="3" t="str">
        <x:v>missing_promised_resources</x:v>
      </x:c>
    </x:row>
    <x:row r="7" ht="120" customHeight="1">
      <x:c r="A7" s="3" t="str">
        <x:v>DEMO_003</x:v>
      </x:c>
      <x:c r="B7" s="3" t="str">
        <x:v>Announce an evaluation workshop without inventing outcomes.</x:v>
      </x:c>
      <x:c r="C7" s="3" t="str">
        <x:v>Approved fictional brief: The workshop covers error analysis. No study, outcome statistic or testimonial has been approved.</x:v>
      </x:c>
      <x:c r="D7" s="3" t="str">
        <x:v>Our evaluation workshop improves agent reliability by 90%. Join us to learn error analysis.</x:v>
      </x:c>
      <x:c r="E7" s="3" t="str">
        <x:v>FAIL</x:v>
      </x:c>
      <x:c r="F7" s="3" t="str">
        <x:v>The 90% improvement claim has no support in the approved brief. A clear announcement cannot compensate for this unsupported material claim.</x:v>
      </x:c>
      <x:c r="G7" s="3" t="str">
        <x:v>unsupported_claim</x:v>
      </x:c>
    </x:row>
  </x:sheetData>
  <x:mergeCells>
    <x:mergeCell ref="A1:G1"/>
    <x:mergeCell ref="A2:G2"/>
  </x:mergeCells>
  <x:pageMargins left="0.7" right="0.7" top="0.75" bottom="0.75" header="0.3" footer="0.3"/>
</x:worksheet>
</file>