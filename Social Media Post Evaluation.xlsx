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1c33facf91b4a3d" /></Relationships>
</file>

<file path=xl/workbook.xml><?xml version="1.0" encoding="utf-8"?>
<x:workbook xmlns:x="http://schemas.openxmlformats.org/spreadsheetml/2006/main">
  <x:sheets>
    <x:sheet xmlns:r="http://schemas.openxmlformats.org/officeDocument/2006/relationships" name="Rubric" sheetId="1" r:id="R4e404f533d5c41f3"/>
    <x:sheet xmlns:r="http://schemas.openxmlformats.org/officeDocument/2006/relationships" name="Existing Examples" sheetId="2" r:id="R1dc4a4d0c41a4334"/>
    <x:sheet xmlns:r="http://schemas.openxmlformats.org/officeDocument/2006/relationships" name="Evaluation Log" sheetId="3" r:id="R2de57d25cfb94942"/>
    <x:sheet xmlns:r="http://schemas.openxmlformats.org/officeDocument/2006/relationships" name="Revised Posts" sheetId="4" r:id="R7c0e4a7b39b84a61"/>
    <x:sheet xmlns:r="http://schemas.openxmlformats.org/officeDocument/2006/relationships" name="Comparison" sheetId="5" r:id="R8087d51d34c24499"/>
    <x:sheet xmlns:r="http://schemas.openxmlformats.org/officeDocument/2006/relationships" name="Failure Analysis" sheetId="6" r:id="Rce552a04ff47434c"/>
    <x:sheet xmlns:r="http://schemas.openxmlformats.org/officeDocument/2006/relationships" name="Failure Traces" sheetId="7" r:id="R612e4c44c5a24ec7"/>
    <x:sheet xmlns:r="http://schemas.openxmlformats.org/officeDocument/2006/relationships" name="Judge" sheetId="8" r:id="R866c91c4aad24bd7"/>
    <x:sheet xmlns:r="http://schemas.openxmlformats.org/officeDocument/2006/relationships" name="Challenge Cases" sheetId="9" r:id="R8d4b99b8b99a479f"/>
  </x:sheets>
</x:workbook>
</file>

<file path=xl/sharedStrings.xml><?xml version="1.0" encoding="utf-8"?>
<x:sst xmlns:x="http://schemas.openxmlformats.org/spreadsheetml/2006/main">
  <x:si>
    <x:t xml:space="preserve">Test_ID</x:t>
  </x:si>
  <x:si>
    <x:t xml:space="preserve">User_Input</x:t>
  </x:si>
  <x:si>
    <x:t xml:space="preserve">Model_Output</x:t>
  </x:si>
  <x:si>
    <x:t xml:space="preserve">Factual_Correctness</x:t>
  </x:si>
  <x:si>
    <x:t xml:space="preserve">Clarity</x:t>
  </x:si>
  <x:si>
    <x:t xml:space="preserve">Value_Insight</x:t>
  </x:si>
  <x:si>
    <x:t xml:space="preserve">Engagement</x:t>
  </x:si>
  <x:si>
    <x:t xml:space="preserve">Tone_Fit</x:t>
  </x:si>
  <x:si>
    <x:t xml:space="preserve">Status</x:t>
  </x:si>
  <x:si>
    <x:t xml:space="preserve">Human_Feedback</x:t>
  </x:si>
  <x:si>
    <x:t xml:space="preserve">Failure_Category</x:t>
  </x:si>
  <x:si>
    <x:t xml:space="preserve">POST_004</x:t>
  </x:si>
  <x:si>
    <x:t xml:space="preserve">LLM Evaluation Resources Everyone Should Know</x:t>
  </x:si>
  <x:si>
    <x:t xml:space="preserve">If you’re working with LLMs in 2026, evaluation can’t be an afterthought.
The challenge?
There’s *too much* information — blog posts, tools, papers, opinions — and not enough clarity on what actually matters.
Here are **LLM evaluation resources everyone building AI systems should know**:
• Frameworks that help you think beyond accuracy
• Practical guides for evaluating RAG pipelines and retrieval quality
• Tools for using LLMs as judges (and when not to)
• Open-source eval libraries worth exploring
• Checklists that help move evals from experiments to production
The goal isn’t to use *every* resource.
It’s to build a **repeatable evaluation mindset** that fits your system, your risks, and your stage.
Strong evals don’t come from one tool — they come from combining the right mental models, metrics, and workflows.
If you’re serious about shipping reliable AI, start by learning how others evaluate what they build.</x:t>
  </x:si>
  <x:si>
    <x:t xml:space="preserve">PASS</x:t>
  </x:si>
  <x:si>
    <x:t xml:space="preserve">FAIL</x:t>
  </x:si>
  <x:si>
    <x:t xml:space="preserve">The post content is great if we are supplementing it with an actual list of resources. This seems like good content if we already have the infographic ready. As a standalone post, though, it promises resources but only lists types of resources, without naming any evaluation frameworks, repositories or tutorials. Would have added much more value if it included a few useful names and explained what each is for. The ending is vague; would ideally want people to share resources in the comments.</x:t>
  </x:si>
  <x:si>
    <x:t xml:space="preserve">Missing Useful Content</x:t>
  </x:si>
  <x:si>
    <x:t xml:space="preserve">POST_001</x:t>
  </x:si>
  <x:si>
    <x:t xml:space="preserve">AI Evaluations Workshop Announcement</x:t>
  </x:si>
  <x:si>
    <x:t xml:space="preserve">Building AI systems is one thing. Knowing whether they actually work in production is another. At The Gen Academy, we’re hosting an AI Evaluations Workshop focused on the practical side of evaluating LLMs, RAG pipelines, and AI agents—the part most teams struggle with once prototypes meet reality. In this workshop, we’ll cover: How to think about LLM evaluation beyond accuracy Evaluating RAG pipelines and retrieval quality When and how to use LLMs as judges Designing evals that scale from experiments to production Common evaluation pitfalls (and how to avoid them) Whether you’re: Shipping AI features, Building agentic systems, Or setting up evals for the first time, this session is designed to give you clear frameworks and practical approaches, not just theory. 📅 Seats are limited. 👉 Register now and start building AI systems you can actually trust.</x:t>
  </x:si>
  <x:si>
    <x:t xml:space="preserve">The workshop date and time are not mentioned, so readers don't have the basic details they need to decide whether to attend. It is also a bit too wordy for this type of promotional post. I feel like people would not read through the entire thing before getting to the point. Would make the announcement shorter and bring the workshop details and main benefit up front. There is already a CTA to register; a question inviting discussion in the comments could help too, but the missing details and wordy framing are the main problems.</x:t>
  </x:si>
  <x:si>
    <x:t xml:space="preserve">Missing Essential Details</x:t>
  </x:si>
  <x:si>
    <x:t xml:space="preserve">POST_002</x:t>
  </x:si>
  <x:si>
    <x:t xml:space="preserve">Evaluating RAG Pipelines: A Framework for Production-Ready Retrieval Systems</x:t>
  </x:si>
  <x:si>
    <x:t xml:space="preserve">RAG systems don’t fail because of the LLM.
They fail because **retrieval quality is poorly understood and rarely evaluated**.
If you’re building Retrieval-Augmented Generation pipelines for production, accuracy alone won’t tell you whether your system actually works.
At The Gen Academy, we think RAG evaluation needs a **clear, structured framework**.
Here’s what a production-ready RAG evaluation should answer:
• Are we retrieving the *right* documents?
• Is retrieval consistent across queries and data drift?
• How much does retrieval quality affect final model outputs?
• Where exactly does the pipeline break: retrieval, grounding, or generation?
Evaluating RAG pipelines means going beyond end-to-end scores and breaking the system into **measurable components**:
retrieval → context quality → answer faithfulness.
When you evaluate each layer independently, debugging becomes faster, iteration becomes intentional, and production failures become preventable.
If you’re serious about shipping reliable RAG systems, your eval strategy needs to mature before your system does.</x:t>
  </x:si>
  <x:si>
    <x:t xml:space="preserve">The opening claim is too absolute. There are more reasons why RAG systems fail, so saying they don't fail because of the LLM and only pointing to retrieval is misleading. Would qualify that claim. Could add more value if the actual breakdown of evaluating a RAG system, with example metrics for each part, was included instead of just saying we need a framework. There is no clear call to action. Ideally, we would want to invite people to discuss their RAG failures in production.</x:t>
  </x:si>
  <x:si>
    <x:t xml:space="preserve">False or Unsupported Claims</x:t>
  </x:si>
  <x:si>
    <x:t xml:space="preserve">POST_003</x:t>
  </x:si>
  <x:si>
    <x:t xml:space="preserve">Register for our AI Evaluations Workshop Now!</x:t>
  </x:si>
  <x:si>
    <x:t xml:space="preserve">You can build powerful AI systems.
But can you *prove* they work?
If you’re deploying LLMs, RAG pipelines, or AI agents, evaluation isn’t optional anymore — it’s what separates demos from production.
🚀 **Registrations are now open for The Gen Academy’s AI Evaluations Workshop.**
In this hands-on session, we’ll cover:
• How to design evaluations for LLMs, RAG systems, and AI agents
• What to measure (and what *not* to)
• Using LLMs as judges — responsibly
• Moving from ad-hoc testing to production-ready eval frameworks
• Common mistakes teams make when evaluating AI systems
This workshop is built for practitioners who want **practical frameworks, clear mental models, and real-world evaluation strategies** — not just theory.
📅 Seats are limited.
👉 Register now and start building AI systems you can trust.</x:t>
  </x:si>
  <x:si>
    <x:t xml:space="preserve">The date, time and mode of the workshop are missing. For a registration post, I would want those details clearly mentioned. Would also make the intended audience more specific; 'practitioners' is quite broad. The content feels a bit rambly for this category and could get to the point faster. There is already a CTA to register. Encouraging comments or shares could help engagement too, but that is an optional improvement rather than the main issue.</x:t>
  </x:si>
  <x:si>
    <x:t xml:space="preserve">POST_005</x:t>
  </x:si>
  <x:si>
    <x:t xml:space="preserve">Testing AI Agent Skills: A Framework for Systematic Evaluation</x:t>
  </x:si>
  <x:si>
    <x:t xml:space="preserve">AI agents don’t fail randomly.
They fail because specific **skills aren’t being evaluated systematically**.
When teams test agents only with end-to-end success metrics, they miss where things actually break.
At The Gen Academy, we think AI agent evaluation needs a **skill-first framework**.
A systematic approach to testing AI agents asks:
• Can the agent plan effectively?
• Does it choose the right tools at the right time?
• Can it recover from errors and unexpected inputs?
• Does it follow instructions consistently across tasks?
• How does performance change as complexity increases?
Instead of treating agents as black boxes, breaking them down into **testable capabilities** makes evaluation actionable.
Skill-level evaluation helps teams:
• Debug failures faster
• Compare agent architectures meaningfully
• Improve reliability before production
If you’re building agentic systems, your evaluation strategy should evolve with your agents — not lag behind them.</x:t>
  </x:si>
  <x:si>
    <x:t xml:space="preserve">I like the way this post is phrased; the questions really get readers thinking. But it promises a framework and doesn't actually show how to break an agent down into testable capabilities or test those capabilities. Would have added more value if there were a concrete example or a few steps readers could use. One thing I don't like is 'At The Gen Academy, we think...'; the post is meant to supply information, not our opinions. There is also no clear closing action or question for the reader.</x:t>
  </x:si>
  <x:si>
    <x:t xml:space="preserve">POST_006</x:t>
  </x:si>
  <x:si>
    <x:t xml:space="preserve">Join Us For Our AI Evals Workshop on February 15!</x:t>
  </x:si>
  <x:si>
    <x:t xml:space="preserve">Building AI systems is getting easier.
Evaluating them properly is not.
If you’re working with LLMs, RAG pipelines, or AI agents, knowing *how* to evaluate them is what separates prototypes from production.
📅 **Join us for The Gen Academy’s AI Evals Workshop on February 15.**
In this session, we’ll focus on:
• Designing evaluation strategies for real-world AI systems
• Evaluating RAG pipelines and retrieval quality
• Testing AI agent skills systematically
• Using LLMs as judges — with the right guardrails
• Avoiding common evaluation mistakes teams make
This workshop is designed for builders who want **practical frameworks, clear mental models, and hands-on evaluation thinking** — not vague metrics.
👉 Seats are limited. Join us on February 15 and start building AI systems you can actually trust.</x:t>
  </x:si>
  <x:si>
    <x:t xml:space="preserve">Seats are not limited, so that claim is incorrect. I'm also not sure that we'll cover all the topics the LLM spat out for our workshop. Would check the agenda and only include topics we have confirmed. This is slightly more concise than the previous promotional posts. It doesn't need to provide deep insights into a topic, but it does need accurate workshop details. Could have had a stronger CTA inviting people to comment with what they want to learn; the incorrect claim and unconfirmed topics are the main problems.</x:t>
  </x:si>
  <x:si>
    <x:t xml:space="preserve">POST_007</x:t>
  </x:si>
  <x:si>
    <x:t xml:space="preserve">LLM Evaluation: Why Testing AI Models Matters</x:t>
  </x:si>
  <x:si>
    <x:t xml:space="preserve">It’s easy to get an LLM to produce answers.
It’s much harder to know whether those answers are **reliable, safe, and production-ready**.
This is why **LLM evaluation matters**.
Without systematic testing, teams end up:
• Trusting models they don’t fully understand
• Shipping features that behave unpredictably
• Debugging failures after users experience them
LLM evaluation isn’t just about accuracy scores.
It’s about asking the right questions:
• Does the model follow instructions consistently?
• How does it behave on edge cases?
• Can it explain or justify its outputs?
• How does performance change as prompts, data, or context evolve?
Strong evaluation practices turn LLMs from impressive demos into dependable systems.
If you’re building with AI, testing isn’t a slowdown — it’s what makes progress sustainable.</x:t>
  </x:si>
  <x:si>
    <x:t xml:space="preserve">While the content is concise, appropriate and somewhat thought provoking, it stays quite general. It says evaluation matters but doesn't show a specific example of what happens when you don't evaluate LLMs. Would have added more value if it included an industry-specific use case or showed why a gut check would miss a problem. There is no clear closing action or question, so there is little invitation for readers to join the discussion.</x:t>
  </x:si>
  <x:si>
    <x:t xml:space="preserve">POST_008</x:t>
  </x:si>
  <x:si>
    <x:t xml:space="preserve">AI Evals Cheat Sheet</x:t>
  </x:si>
  <x:si>
    <x:t xml:space="preserve">🚀 Unlock the Power of AI Evaluation with The Gen Academy!
Struggling to keep track of AI model assessments? Our **AI Evals Cheat Sheet** is your go-to guide for structured, efficient, and reliable AI evaluation. Whether you're a researcher, developer, or AI enthusiast, this cheat sheet breaks down the evaluation process into clear, actionable steps, saving you time and boosting your accuracy.
🔹 Quickly compare model outputs
🔹 Identify biases and weaknesses
🔹 Standardize your evaluation workflow
Get ahead in the AI game and make your evaluations smarter, faster, and more consistent. Grab your cheat sheet today and start leveling up your AI projects! 💡
#AI #MachineLearning #AIEvals #GenAcademy #CheatSheet #AIWorkflow</x:t>
  </x:si>
  <x:si>
    <x:t xml:space="preserve">Very poor since the LLM misunderstood the intent of the post in the first place. I would have liked the actual content for an AI evals cheat sheet, with useful checks or steps people could use. Instead, it wrote promotional copy for a separate cheat sheet that we are not distributing. The CTA therefore sends readers to something that isn't available. Tone is not appropriate and the emojis are highly irritating. The output adds little value on its own because none of the promised cheat sheet content is actually included.</x:t>
  </x:si>
  <x:si>
    <x:t xml:space="preserve">POST_009</x:t>
  </x:si>
  <x:si>
    <x:t xml:space="preserve">Four Questions Your RAG Eval Must Answer</x:t>
  </x:si>
  <x:si>
    <x:t xml:space="preserve">🔍 Evaluating your RAG system? Ask the Right Questions!
A solid RAG (Retrieval-Augmented Generation) evaluation isn’t complete without answering these four critical questions:
1️⃣ **Relevance:** Are the retrieved documents actually answering the query?
2️⃣ **Accuracy:** Is the generated response factually correct?
3️⃣ **Completeness:** Does the answer cover all necessary aspects?
4️⃣ **Efficiency:** How well does the system balance speed and performance?
These questions form the backbone of any robust RAG evaluation, helping you identify gaps, improve retrieval quality, and fine-tune your generation strategy.
💡 Mastering these evaluation metrics ensures your RAG system is not just smart—but reliable.
#AI #RAG #AIEvaluation #GenAcademy #MachineLearning #AIWorkflow                  </x:t>
  </x:si>
  <x:si>
    <x:t xml:space="preserve">Content looks accurate and is very close to one of our existing posts, Aishwarya's post about RAG evaluation inspired by a LangChain blog. The four questions are clear and useful. No clear CTA; the post ends with a claim about reliability and hashtags instead of inviting readers to share what they check in their own RAG systems. Tone is mostly suitable. The capital letters in 'Right Questions' are irritating in the middle of a sentence, and 'not just X but Y' is a familiar LLM-generated pattern I would avoid. Those are small wording preferences; the missing invitation to engage is the more useful fix.</x:t>
  </x:si>
  <x:si>
    <x:t xml:space="preserve">Missing Closing Action</x:t>
  </x:si>
  <x:si>
    <x:t xml:space="preserve">POST_010</x:t>
  </x:si>
  <x:si>
    <x:t xml:space="preserve">LLM-as-Judge Done Right</x:t>
  </x:si>
  <x:si>
    <x:t xml:space="preserve">⚖️ LLMs as Judges: Getting It Right
Using LLMs to evaluate AI outputs is powerful—but only if done correctly. Here's how to make your LLM a reliable judge:
1️⃣ **Define Clear Criteria:** Set transparent scoring rules to avoid ambiguity.
2️⃣ **Calibrate Consistency:** Test the LLM across multiple scenarios to ensure stable judgments.
3️⃣ **Mitigate Bias:** Use diverse prompts and perspectives to reduce skewed evaluations.
4️⃣ **Audit and Verify:** Cross-check LLM judgments with human reviewers for trustworthiness.
When leveraged thoughtfully, LLMs can scale evaluation, save time, and provide structured insights that elevate your AI projects.
#AI #LLM #AIEvaluation #GenAcademy #MachineLearning #AIWorkflow</x:t>
  </x:si>
  <x:si>
    <x:t xml:space="preserve">Great content with clear steps that readers can follow when building an LLM-as-a-Judge pipeline. Would add value to someone implementing LLM-J, and the tone is appropriate. The main thing missing is a clear CTA or closing question. It finishes with a general statement about the benefits and then hashtags, without giving readers a next step or inviting them to discuss how they check their own judges.</x:t>
  </x:si>
  <x:si>
    <x:t xml:space="preserve">POST_011</x:t>
  </x:si>
  <x:si>
    <x:t xml:space="preserve">From 0 to Production Evals in One Week</x:t>
  </x:si>
  <x:si>
    <x:t xml:space="preserve">🚀 From 0 to Production-Ready AI Evals in Just One Week!
Think building a robust evaluation pipeline takes months? Think again. With the right approach, tools, and guidance, you can go from concept to production-ready AI evaluations in just 7 days. Here’s how:
🔹 **Day 1–2:** Define evaluation goals and metrics
🔹 **Day 3–4:** Set up data pipelines and test datasets
🔹 **Day 5:** Integrate evaluation frameworks
🔹 **Day 6:** Run initial tests and refine workflows
🔹 **Day 7:** Deploy and monitor production evaluations
Speed doesn’t mean cutting corners—it means working smarter, automating where possible, and focusing on what truly matters. Ready to accelerate your AI evaluation journey? Let’s make it happen! 💡
#AI #AIEvaluation #MachineLearning #GenAcademy #ProductionReady #AIWorkflow</x:t>
  </x:si>
  <x:si>
    <x:t xml:space="preserve">Provides clear steps to build an eval pipeline, although I'm not sure these steps are realistically possible in seven days. The post presents production readiness in a week as something readers can expect, without any evidence for that timeline. Evaluation can be more nuanced and require iteration. Would present this as an example one-week starting plan rather than promising a production-ready system. The CTA works, and the outline would add value to someone learning the steps involved once that claim is qualified.</x:t>
  </x:si>
  <x:si>
    <x:t xml:space="preserve">POST_012</x:t>
  </x:si>
  <x:si>
    <x:t xml:space="preserve">Here's What People Have to Say About Our AI Evals Workshop!</x:t>
  </x:si>
  <x:si>
    <x:t xml:space="preserve">The verdict is in... 🥁
We recently wrapped up our latest AI Evals Workshop at The Gen Academy, and the feedback has been nothing short of inspiring.
When we designed this curriculum, our goal was simple: help you move beyond 'vibes-based' testing and give you rigorous, actionable evaluation frameworks for your LLM applications.
Here is what our recent participants had to say:
💬 \"Finally, I have a structure for the chaos. The section on LLM-as-a-Judge changed my entire workflow.\"
💬 \"Practical, hands-on, and zero fluff. I deployed a new eval pipeline the next day.\"
💬 \"I stopped guessing if my RAG system was improving and started actually measuring it.\"
Building reliable AI isn't just about better prompting—it's about better testing. We are incredibly proud to see our students shipping with confidence.
Want to join them? 
🔗 Secure your spot in our next cohort here: [Insert Link]
#AIEvals #LLM #GenerativeAI #TheGenAcademy #AITesting #EngineeringExcellence</x:t>
  </x:si>
  <x:si>
    <x:t xml:space="preserve">The LLM made up testimonials, which is not acceptable. The quotes and the claim that a participant deployed an eval pipeline the next day need to come from actual participant feedback; we shouldn't invent them to make the workshop sound good. Tone is otherwise appropriate, although I would prefer no hashtags or emojis for this type of post. The CTA at the end is clear. The invented testimonials are the main problem here.</x:t>
  </x:si>
  <x:si>
    <x:t xml:space="preserve">P01</x:t>
  </x:si>
  <x:si>
    <x:t xml:space="preserve">P02</x:t>
  </x:si>
  <x:si>
    <x:t xml:space="preserve">P03</x:t>
  </x:si>
  <x:si>
    <x:t xml:space="preserve">P04</x:t>
  </x:si>
  <x:si>
    <x:t xml:space="preserve">P05</x:t>
  </x:si>
  <x:si>
    <x:t xml:space="preserve">P06</x:t>
  </x:si>
  <x:si>
    <x:t xml:space="preserve">P07</x:t>
  </x:si>
  <x:si>
    <x:t xml:space="preserve">P08</x:t>
  </x:si>
  <x:si>
    <x:t xml:space="preserve">P09</x:t>
  </x:si>
  <x:si>
    <x:t xml:space="preserve">P10</x:t>
  </x:si>
  <x:si>
    <x:t xml:space="preserve">Original_Status</x:t>
  </x:si>
  <x:si>
    <x:t xml:space="preserve">Revised_Status</x:t>
  </x:si>
  <x:si>
    <x:t xml:space="preserve">Outcome</x:t>
  </x:si>
  <x:si>
    <x:t xml:space="preserve">Category</x:t>
  </x:si>
  <x:si>
    <x:t xml:space="preserve">Count</x:t>
  </x:si>
  <x:si>
    <x:t xml:space="preserve">Suggested_Fix</x:t>
  </x:si>
  <x:si>
    <x:t xml:space="preserve">Evidence</x:t>
  </x:si>
  <x:si>
    <x:t xml:space="preserve">Likely_Cause</x:t>
  </x:si>
  <x:si>
    <x:t xml:space="preserve">Proposed_Fix</x:t>
  </x:si>
  <x:si>
    <x:t xml:space="preserve">Historical critique: The post content is great if we are supplementing it with an actual list of resources. This seems like good content if we already have the infograph ready. Would have added much more value if there were a list of evaluation frameworks/repositories/tutorials that are useful. No CTA, would ideally want people to share resources in the comments.</x:t>
  </x:si>
  <x:si>
    <x:t xml:space="preserve">Dimension</x:t>
  </x:si>
  <x:si>
    <x:t xml:space="preserve">Human_Status</x:t>
  </x:si>
  <x:si>
    <x:t xml:space="preserve">Jev_Status</x:t>
  </x:si>
  <x:si>
    <x:t xml:space="preserve">LLM_Status</x:t>
  </x:si>
  <x:si>
    <x:t xml:space="preserve">LLM_Reason</x:t>
  </x:si>
  <x:si>
    <x:t xml:space="preserve">Run_Status</x:t>
  </x:si>
  <x:si>
    <x:t xml:space="preserve">Review_Notes</x:t>
  </x:si>
</x:sst>
</file>

<file path=xl/styles.xml><?xml version="1.0" encoding="utf-8"?>
<x:styleSheet xmlns:x="http://schemas.openxmlformats.org/spreadsheetml/2006/main">
  <x:fonts count="4">
    <x:font>
      <x:sz val="11"/>
      <x:color rgb="FF000000"/>
      <x:name val="Carlito"/>
      <x:scheme val="minor"/>
    </x:font>
    <x:font>
      <x:b/>
      <x:sz val="11"/>
      <x:color rgb="FFFFFFFF"/>
      <x:name val="Arial"/>
    </x:font>
    <x:font>
      <x:sz val="11"/>
      <x:color theme="1"/>
      <x:name val="Arial"/>
    </x:font>
    <x:font>
      <x:b/>
      <x:sz val="11"/>
      <x:color theme="1"/>
      <x:name val="Arial"/>
    </x:font>
  </x:fonts>
  <x:fills count="6">
    <x:fill>
      <x:patternFill patternType="none"/>
    </x:fill>
    <x:fill>
      <x:patternFill patternType="lightGray"/>
    </x:fill>
    <x:fill>
      <x:patternFill patternType="solid">
        <x:fgColor rgb="FF1E3A50"/>
      </x:patternFill>
    </x:fill>
    <x:fill>
      <x:patternFill patternType="solid">
        <x:fgColor rgb="FFFFF9E8"/>
      </x:patternFill>
    </x:fill>
    <x:fill>
      <x:patternFill patternType="solid">
        <x:fgColor rgb="FFE4F3E9"/>
      </x:patternFill>
    </x:fill>
    <x:fill>
      <x:patternFill patternType="solid">
        <x:fgColor rgb="FFEFF6FA"/>
      </x:patternFill>
    </x:fill>
  </x:fills>
  <x:borders count="2">
    <x:border/>
    <x:border>
      <x:left/>
      <x:right/>
      <x:top/>
      <x:bottom/>
    </x:border>
  </x:borders>
  <x:cellStyleXfs count="1">
    <x:xf numFmtId="0" fontId="0" fillId="0" borderId="0" applyFont="1" applyAlignment="1"/>
  </x:cellStyleXfs>
  <x:cellXfs count="9">
    <x:xf numFmtId="0" fontId="0" fillId="0" borderId="0" xfId="0" applyFont="1" applyAlignment="1">
      <x:alignment vertical="bottom" wrapText="0" shrinkToFit="0"/>
    </x:xf>
    <x:xf numFmtId="0" fontId="1" fillId="2" borderId="1" xfId="0" applyFont="1" applyFill="1" applyBorder="1" applyAlignment="1">
      <x:alignment vertical="top" wrapText="1" shrinkToFit="0"/>
    </x:xf>
    <x:xf numFmtId="0" fontId="2" fillId="0" borderId="0" xfId="0" applyFont="1" applyAlignment="1">
      <x:alignment vertical="top" wrapText="1" shrinkToFit="0"/>
    </x:xf>
    <x:xf numFmtId="0" fontId="2" fillId="0" borderId="0" xfId="0" applyFont="1" applyAlignment="1">
      <x:alignment vertical="top" wrapText="1" shrinkToFit="0"/>
    </x:xf>
    <x:xf numFmtId="0" fontId="2" fillId="3" borderId="1" xfId="0" applyFont="1" applyFill="1" applyBorder="1" applyAlignment="1">
      <x:alignment vertical="top" wrapText="1" shrinkToFit="0"/>
    </x:xf>
    <x:xf numFmtId="0" fontId="3" fillId="4" borderId="1" xfId="0" applyFont="1" applyFill="1" applyBorder="1" applyAlignment="1">
      <x:alignment vertical="top" wrapText="1" shrinkToFit="0"/>
    </x:xf>
    <x:xf numFmtId="0" fontId="2" fillId="3" borderId="1" xfId="0" applyFont="1" applyFill="1" applyBorder="1" applyAlignment="1">
      <x:alignment vertical="top" wrapText="1" shrinkToFit="0"/>
    </x:xf>
    <x:xf numFmtId="0" fontId="3" fillId="5" borderId="1" xfId="0" applyFont="1" applyFill="1" applyBorder="1" applyAlignment="1">
      <x:alignment vertical="top" wrapText="1" shrinkToFit="0"/>
    </x:xf>
    <x:xf numFmtId="0" fontId="1" fillId="2" borderId="1" xfId="0" applyFont="1" applyFill="1" applyBorder="1" applyAlignment="1">
      <x:alignment vertical="top" wrapText="1" shrinkToFit="0"/>
    </x:xf>
  </x:cellXfs>
  <x:cellStyles count="1">
    <x:cellStyle name="Normal" xfId="0"/>
  </x:cellStyles>
  <x:dxfs count="2">
    <x:dxf>
      <x:font>
        <x:color rgb="FF185A35"/>
      </x:font>
      <x:fill>
        <x:patternFill>
          <x:bgColor rgb="FFE4F3E9"/>
        </x:patternFill>
      </x:fill>
      <x:border/>
    </x:dxf>
    <x:dxf>
      <x:font>
        <x:color rgb="FF922B21"/>
      </x:font>
      <x:fill>
        <x:patternFill>
          <x:bgColor rgb="FFFBE8E6"/>
        </x:patternFill>
      </x:fill>
      <x:border/>
    </x:dxf>
  </x:dxfs>
</x:styleSheet>
</file>

<file path=xl/_rels/workbook.xml.rels>&#65279;<?xml version="1.0" encoding="utf-8"?><Relationships xmlns="http://schemas.openxmlformats.org/package/2006/relationships"><Relationship Type="http://schemas.openxmlformats.org/officeDocument/2006/relationships/styles" Target="/xl/styles.xml" Id="R60bced55291a497f" /><Relationship Type="http://schemas.openxmlformats.org/officeDocument/2006/relationships/theme" Target="/xl/theme/theme1.xml" Id="R1c069edfd3ab4788" /><Relationship Type="http://schemas.openxmlformats.org/officeDocument/2006/relationships/sharedStrings" Target="/xl/sharedStrings.xml" Id="R1cbf795eef01425d" /><Relationship Type="http://schemas.openxmlformats.org/officeDocument/2006/relationships/worksheet" Target="/xl/worksheets/sheet1.xml" Id="R4e404f533d5c41f3" /><Relationship Type="http://schemas.openxmlformats.org/officeDocument/2006/relationships/worksheet" Target="/xl/worksheets/sheet2.xml" Id="R1dc4a4d0c41a4334" /><Relationship Type="http://schemas.openxmlformats.org/officeDocument/2006/relationships/worksheet" Target="/xl/worksheets/sheet3.xml" Id="R2de57d25cfb94942" /><Relationship Type="http://schemas.openxmlformats.org/officeDocument/2006/relationships/worksheet" Target="/xl/worksheets/sheet4.xml" Id="R7c0e4a7b39b84a61" /><Relationship Type="http://schemas.openxmlformats.org/officeDocument/2006/relationships/worksheet" Target="/xl/worksheets/sheet5.xml" Id="R8087d51d34c24499" /><Relationship Type="http://schemas.openxmlformats.org/officeDocument/2006/relationships/worksheet" Target="/xl/worksheets/sheet6.xml" Id="Rce552a04ff47434c" /><Relationship Type="http://schemas.openxmlformats.org/officeDocument/2006/relationships/worksheet" Target="/xl/worksheets/sheet7.xml" Id="R612e4c44c5a24ec7" /><Relationship Type="http://schemas.openxmlformats.org/officeDocument/2006/relationships/worksheet" Target="/xl/worksheets/sheet8.xml" Id="R866c91c4aad24bd7" /><Relationship Type="http://schemas.openxmlformats.org/officeDocument/2006/relationships/worksheet" Target="/xl/worksheets/sheet9.xml" Id="R8d4b99b8b99a479f"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defaultColWidth="12.630000114440918" defaultRowHeight="15"/>
  <x:cols>
    <x:col min="1" max="1" width="20" customWidth="1"/>
    <x:col min="2" max="3" width="51.130001068115234" customWidth="1"/>
    <x:col min="4" max="26" width="8.630000114440918" customWidth="1"/>
  </x:cols>
  <x:sheetData>
    <x:row r="1" ht="33.75" customHeight="1">
      <x:c r="A1" s="1" t="str">
        <x:v>Dimension</x:v>
      </x:c>
      <x:c r="B1" s="1" t="str">
        <x:v>PASS when…</x:v>
      </x:c>
      <x:c r="C1" s="1" t="str">
        <x:v>FAIL when…</x:v>
      </x:c>
    </x:row>
    <x:row r="2" ht="52.79999923706055" hidden="0" customHeight="1">
      <x:c r="A2" s="2" t="str">
        <x:v>Factual Correctness</x:v>
      </x:c>
      <x:c r="B2" s="2" t="str">
        <x:v>Every checkable claim is supported by the approved facts or a correct calculation from them. Preserve dates, feature status, sample size and stated limitations. Clearly hypothetical teaching examples are allowed; they must not be presented as real events or testimonials.</x:v>
      </x:c>
      <x:c r="C2" s="2" t="str">
        <x:v>Any unsupported or contradictory claim, wrong calculation, invented link or quote, planned feature presented as available, or limited result presented as a general guarantee.</x:v>
      </x:c>
    </x:row>
    <x:row r="3" ht="52.79999923706055" hidden="0" customHeight="1">
      <x:c r="A3" s="2" t="str">
        <x:v>Clarity</x:v>
      </x:c>
      <x:c r="B3" s="2" t="str">
        <x:v>After one reading, the intended audience can identify the topic and understand the explanation. Terms essential to understanding are explained for beginners. References make clear who or what is being discussed.</x:v>
      </x:c>
      <x:c r="C3" s="2" t="str">
        <x:v>An unexplained essential term, ambiguous reference, contradiction or disordered explanation prevents the intended reader from understanding the point. A minor wording preference or harmless repetition alone is not a failure.</x:v>
      </x:c>
    </x:row>
    <x:row r="4" ht="66" hidden="0" customHeight="1">
      <x:c r="A4" s="2" t="str">
        <x:v>Value / Insight</x:v>
      </x:c>
      <x:c r="B4" s="2" t="str">
        <x:v>Every explicit content and delivery requirement is met, including word limit, format and required link. Advice names a concrete action; an example shows a situation and what to do or observe. Promised resources are named and supplied or explained. Requested event details are included when supplied.</x:v>
      </x:c>
      <x:c r="C4" s="2" t="str">
        <x:v>Any explicit requirement is missed, the post advertises content instead of delivering it, or a requested example or action is replaced by a slogan such as "use best practices". Do not fail a post merely for omitting a detail that was not supplied or required.</x:v>
      </x:c>
    </x:row>
    <x:row r="5" ht="52.79999923706055" hidden="0" customHeight="1">
      <x:c r="A5" s="2" t="str">
        <x:v>Engagement</x:v>
      </x:c>
      <x:c r="B5" s="2" t="str">
        <x:v>The opening identifies a specific audience problem, benefit or topic worth reading about. The ending gives a relevant, feasible action or a specific question. When the brief prohibits a call to action or question, end with a declarative takeaway instead.</x:v>
      </x:c>
      <x:c r="C5" s="2" t="str">
        <x:v>The opening is only generic hype, the ending is missing or only says "Thoughts?", the action needs an unavailable resource, or a prohibited question or instruction to act is included. Assess the writing, not predicted likes or actual engagement.</x:v>
      </x:c>
    </x:row>
    <x:row r="6" ht="52.79999923706055" hidden="0" customHeight="1">
      <x:c r="A6" s="2" t="str">
        <x:v>Tone Fit</x:v>
      </x:c>
      <x:c r="B6" s="2" t="str">
        <x:v>The wording matches the requested audience, voice and situation. It respects the reader and uses the requested level of formality. An apology acknowledges the inconvenience without blame or celebration.</x:v>
      </x:c>
      <x:c r="C6" s="2" t="str">
        <x:v>A specific phrase insults or pressures the reader, minimizes a stated problem, or conflicts with the requested voice, such as a celebratory sales pitch in an apology. Personal preference about emojis or style alone is not a failure.</x:v>
      </x:c>
    </x:row>
    <x:row r="7" ht="15" hidden="0" customHeight="1">
      <x:c r="A7" s="2" t="str"/>
      <x:c r="B7" s="2" t="str"/>
      <x:c r="C7" s="2" t="str"/>
    </x:row>
    <x:row r="8" ht="26.399999618530273" hidden="0" customHeight="1">
      <x:c r="A8" s="5" t="str">
        <x:v>Overall rule</x:v>
      </x:c>
      <x:c r="B8" s="5" t="str">
        <x:v>All five dimensions PASS = overall PASS. Any FAIL = overall FAIL.</x:v>
      </x:c>
      <x:c r="C8" s="5" t="str"/>
    </x:row>
    <x:row r="9" ht="39.599998474121094" hidden="0" customHeight="1">
      <x:c r="A9" s="2" t="str">
        <x:v>10-post exercise</x:v>
      </x:c>
      <x:c r="B9" s="3" t="str">
        <x:v>Invent ten varied inputs: two routine requests and eight realistic challenges. Use Challenge Cases for ideas or as a ready-to-run instructor dataset.</x:v>
      </x:c>
      <x:c r="C9" s="3" t="str">
        <x:v>Include audience, purpose, requirements and an Approved facts: section. All supplied challenge facts are fictional. Expected behavior is defined before generation; no outcome is pre-labeled.</x:v>
      </x:c>
    </x:row>
    <x:row r="10" ht="52.79999923706055" hidden="0" customHeight="1">
      <x:c r="A10" s="2" t="str">
        <x:v>Your review</x:v>
      </x:c>
      <x:c r="B10" s="2" t="str">
        <x:v>Review all five dimensions. For every FAIL, quote the problematic phrase or name the missing requirement and supporting fact.</x:v>
      </x:c>
      <x:c r="C10" s="2" t="str">
        <x:v>If necessary evidence is unavailable, leave the affected decision blank and explain why. Explicitly unknown details need not be invented. A hypothetical teaching example is not a factual claim about a real event.</x:v>
      </x:c>
    </x:row>
    <x:row r="11" ht="39.599998474121094" hidden="0" customHeight="1">
      <x:c r="A11" s="2" t="str">
        <x:v>Explicit requirements</x:v>
      </x:c>
      <x:c r="B11" s="2" t="str">
        <x:v>A missed word limit, format or requested content fails Value / Insight. Count whitespace-separated words in the whole post, including headings, bullets and links.</x:v>
      </x:c>
      <x:c r="C11" s="2" t="str">
        <x:v>Use the same counting convention for both runs. A prohibited CTA also fails Engagement. Do not add requirements after seeing an output.</x:v>
      </x:c>
    </x:row>
    <x:row r="12" ht="39.599998474121094" hidden="0" customHeight="1">
      <x:c r="A12" s="2" t="str">
        <x:v>Rerun</x:v>
      </x:c>
      <x:c r="B12" s="2" t="str">
        <x:v>Keep the same requests, facts and rubric version for the original and revised generator. Review both outputs afresh under that version.</x:v>
      </x:c>
      <x:c r="C12" s="2" t="str">
        <x:v>Keep earlier results as historical records. New rules require a new baseline; do not compare old-rule labels with new-rule labels as a model improvement.</x:v>
      </x:c>
    </x:row>
    <x:row r="13" ht="26.399999618530273" hidden="0" customHeight="1">
      <x:c r="A13" s="2" t="str">
        <x:v>Existing examples</x:v>
      </x:c>
      <x:c r="B13" s="3" t="str">
        <x:v>The 12 instructor examples are historical worked reviews. Their labels have not been changed by this rubric update.</x:v>
      </x:c>
      <x:c r="C13" s="3" t="str">
        <x:v>Rubric v4 applies to new reviews. Re-review saved examples under v4 before using their labels in a v4 comparison.</x:v>
      </x:c>
    </x:row>
    <x:row r="14" ht="15" hidden="0" customHeight="1">
      <x:c r="A14" s="2" t="str"/>
      <x:c r="B14" s="2" t="str"/>
      <x:c r="C14" s="2" t="str"/>
    </x:row>
    <x:row r="15" ht="15" hidden="0" customHeight="1">
      <x:c r="A15" s="8" t="str">
        <x:v>Failure category</x:v>
      </x:c>
      <x:c r="B15" s="8" t="str">
        <x:v>Use when…</x:v>
      </x:c>
      <x:c r="C15" s="8" t="str">
        <x:v>Worked example</x:v>
      </x:c>
    </x:row>
    <x:row r="16" ht="26.399999618530273" hidden="0" customHeight="1">
      <x:c r="A16" s="3" t="str">
        <x:v>False or Unsupported Claims</x:v>
      </x:c>
      <x:c r="B16" s="3" t="str">
        <x:v>A claim is false, unsupported or invented, including dates, capabilities, statistics or testimonials.</x:v>
      </x:c>
      <x:c r="C16" s="3" t="str">
        <x:v>POST_012: made-up participant testimonials.</x:v>
      </x:c>
    </x:row>
    <x:row r="17" ht="26.399999618530273" hidden="0" customHeight="1">
      <x:c r="A17" s="3" t="str">
        <x:v>Missing Useful Content</x:v>
      </x:c>
      <x:c r="B17" s="3" t="str">
        <x:v>The post promises resources, examples or practical guidance but does not deliver useful substance.</x:v>
      </x:c>
      <x:c r="C17" s="3" t="str">
        <x:v>POST_004: names no resources. POST_008: promotes a cheat sheet but supplies no useful checks.</x:v>
      </x:c>
    </x:row>
    <x:row r="18" ht="26.399999618530273" hidden="0" customHeight="1">
      <x:c r="A18" s="3" t="str">
        <x:v>Missing Essential Details</x:v>
      </x:c>
      <x:c r="B18" s="3" t="str">
        <x:v>Information readers need to act is missing, such as workshop date, time or delivery mode. Check whether the brief supplied it.</x:v>
      </x:c>
      <x:c r="C18" s="3" t="str">
        <x:v>POST_001 and POST_003: missing workshop details. If facts were absent from the brief, fix the input; do not invent them.</x:v>
      </x:c>
    </x:row>
    <x:row r="19" ht="39.599998474121094" hidden="0" customHeight="1">
      <x:c r="A19" s="3" t="str">
        <x:v>Missing Closing Action</x:v>
      </x:c>
      <x:c r="B19" s="3" t="str">
        <x:v>The ending lacks a relevant action or question required by the Engagement rule. A useful takeaway is enough if the request prohibits a CTA.</x:v>
      </x:c>
      <x:c r="C19" s="3" t="str">
        <x:v>POST_009 and POST_010: useful content, but no closing action or question.</x:v>
      </x:c>
    </x:row>
    <x:row r="20" ht="39.599998474121094" hidden="0" customHeight="1">
      <x:c r="A20" s="3" t="str">
        <x:v>Choose one main category</x:v>
      </x:c>
      <x:c r="B20" s="3" t="str">
        <x:v>These four patterns come from the instructor examples. Use one when it fits; explain every failed dimension in feedback.</x:v>
      </x:c>
      <x:c r="C20" s="3" t="str">
        <x:v>If a new failure does not fit, describe it and propose a category rather than forcing it into the list. Failure Analysis counts the ten posts in Evaluation Log.</x:v>
      </x:c>
    </x:row>
    <x:row r="21" ht="15" hidden="0" customHeight="1">
      <x:c r="A21" t="str"/>
      <x:c r="B21" t="str"/>
      <x:c r="C21" t="str"/>
    </x:row>
    <x:row r="22" ht="15" hidden="0" customHeight="1">
      <x:c r="A22" s="1" t="str">
        <x:v>Dimension</x:v>
      </x:c>
      <x:c r="B22" s="1" t="str">
        <x:v>Illustrative PASS example</x:v>
      </x:c>
      <x:c r="C22" s="1" t="str">
        <x:v>Illustrative FAIL example</x:v>
      </x:c>
    </x:row>
    <x:row r="23" ht="26.399999618530273" hidden="0" customHeight="1">
      <x:c r="A23" s="2" t="str">
        <x:v>Factual Correctness</x:v>
      </x:c>
      <x:c r="B23" s="2" t="str">
        <x:v>Facts: 8/10 became 9/10 on the same cases. Post: "The practice pass rate rose by 10 percentage points."</x:v>
      </x:c>
      <x:c r="C23" s="2" t="str">
        <x:v>"Accuracy improved by 10% everywhere." The relative change is 12.5%, and generalization is unsupported.</x:v>
      </x:c>
    </x:row>
    <x:row r="24" ht="26.399999618530273" hidden="0" customHeight="1">
      <x:c r="A24" s="2" t="str">
        <x:v>Clarity</x:v>
      </x:c>
      <x:c r="B24" s="2" t="str">
        <x:v>For a beginner: "Evaluation means checking saved answers against rules before launch."</x:v>
      </x:c>
      <x:c r="C24" s="2" t="str">
        <x:v>For the same beginner: "Use OOD evals to catch regressions." The essential terms are unexplained.</x:v>
      </x:c>
    </x:row>
    <x:row r="25" ht="26.399999618530273" hidden="0" customHeight="1">
      <x:c r="A25" s="2" t="str">
        <x:v>Value / Insight</x:v>
      </x:c>
      <x:c r="B25" s="2" t="str">
        <x:v>Asked for a practical check: "Compare each date in the post with the event brief; flag any mismatch."</x:v>
      </x:c>
      <x:c r="C25" s="2" t="str">
        <x:v>"Follow best practices to ensure quality." This supplies no concrete check.</x:v>
      </x:c>
    </x:row>
    <x:row r="26" ht="26.399999618530273" hidden="0" customHeight="1">
      <x:c r="A26" s="2" t="str">
        <x:v>Engagement</x:v>
      </x:c>
      <x:c r="B26" s="2" t="str">
        <x:v>"Which review step catches the most errors on your team?" No-CTA brief: "Both checks are needed before a post is ready."</x:v>
      </x:c>
      <x:c r="C26" s="2" t="str">
        <x:v>"Thoughts?" is too vague. In a no-CTA brief, "Review both before publishing" is an instruction to act.</x:v>
      </x:c>
    </x:row>
    <x:row r="27" ht="26.399999618530273" hidden="0" customHeight="1">
      <x:c r="A27" s="2" t="str">
        <x:v>Tone Fit</x:v>
      </x:c>
      <x:c r="B27" s="2" t="str">
        <x:v>Service update: "We are sorry exports were unavailable. Service is restored; support can help if the issue continues."</x:v>
      </x:c>
      <x:c r="C27" s="2" t="str">
        <x:v>"Great news! Our tiny hiccup is over. Upgrade now!" This minimizes an outage and turns an apology into a sales pitch.</x:v>
      </x:c>
    </x:row>
    <x:row r="28" ht="15" hidden="0" customHeight="1">
      <x:c r="A28" t="str"/>
      <x:c r="B28" t="str"/>
      <x:c r="C28" t="str"/>
    </x:row>
    <x:row r="29" ht="15" hidden="0" customHeight="1">
      <x:c r="A29" s="1" t="str">
        <x:v>Challenge case</x:v>
      </x:c>
      <x:c r="B29" s="1" t="str">
        <x:v>Coverage</x:v>
      </x:c>
      <x:c r="C29" s="1" t="str">
        <x:v>Check before assigning PASS</x:v>
      </x:c>
    </x:row>
    <x:row r="30" ht="39.599998474121094" hidden="0" customHeight="1">
      <x:c r="A30" s="2" t="str">
        <x:v>R01</x:v>
      </x:c>
      <x:c r="B30" s="2" t="str">
        <x:v>Routine invitation</x:v>
      </x:c>
      <x:c r="C30" s="2" t="str">
        <x:v>Includes free, online, 45 minutes and the exact supplied link. No invented date or certificate. At most 80 words; a relevant registration CTA.</x:v>
      </x:c>
    </x:row>
    <x:row r="31" ht="39.599998474121094" hidden="0" customHeight="1">
      <x:c r="A31" s="2" t="str">
        <x:v>R02</x:v>
      </x:c>
      <x:c r="B31" s="2" t="str">
        <x:v>Routine practical guidance</x:v>
      </x:c>
      <x:c r="C31" s="2" t="str">
        <x:v>Three numbered steps, a recognizable hypothetical certificate error, and a specific process question. No invented measured benefit. At most 110 words.</x:v>
      </x:c>
    </x:row>
    <x:row r="32" ht="39.599998474121094" hidden="0" customHeight="1">
      <x:c r="A32" s="2" t="str">
        <x:v>R03</x:v>
      </x:c>
      <x:c r="B32" s="2" t="str">
        <x:v>Missing information</x:v>
      </x:c>
      <x:c r="C32" s="2" t="str">
        <x:v>States that date and registration details are pending. Includes the known practical details and topics. No fabricated URL, date, testimonial or registration CTA. Specific closing question.</x:v>
      </x:c>
    </x:row>
    <x:row r="33" ht="39.599998474121094" hidden="0" customHeight="1">
      <x:c r="A33" s="2" t="str">
        <x:v>R04</x:v>
      </x:c>
      <x:c r="B33" s="2" t="str">
        <x:v>Deliver the promised substance</x:v>
      </x:c>
      <x:c r="C33" s="2" t="str">
        <x:v>Three distinct checks, each with a bad phrase and concrete review action. Both resources have a stated use. No fictitious attachment or download. The post contains the cheat sheet, within 160 words.</x:v>
      </x:c>
    </x:row>
    <x:row r="34" ht="52.79999923706055" hidden="0" customHeight="1">
      <x:c r="A34" s="2" t="str">
        <x:v>R05</x:v>
      </x:c>
      <x:c r="B34" s="2" t="str">
        <x:v>Mixed results and statistics</x:v>
      </x:c>
      <x:c r="C34" s="2" t="str">
        <x:v>Practice 8/10 to 9/10 is +10 percentage points, not +10% relative. Unseen cases remain 6/10. Latency rises 2s to 3s. No pooled rate that hides the groups, general reliability claim or production-ready claim.</x:v>
      </x:c>
    </x:row>
    <x:row r="35" ht="39.599998474121094" hidden="0" customHeight="1">
      <x:c r="A35" s="2" t="str">
        <x:v>R06</x:v>
      </x:c>
      <x:c r="B35" s="2" t="str">
        <x:v>Available versus planned features</x:v>
      </x:c>
      <x:c r="C35" s="2" t="str">
        <x:v>All current features remain distinct from planned automatic scoring. Explicitly notes manual labeling. The use case uses only current capabilities. No invented launch timing or quantified benefit.</x:v>
      </x:c>
    </x:row>
    <x:row r="36" ht="39.599998474121094" hidden="0" customHeight="1">
      <x:c r="A36" s="2" t="str">
        <x:v>R07</x:v>
      </x:c>
      <x:c r="B36" s="2" t="str">
        <x:v>Updated source among older notes</x:v>
      </x:c>
      <x:c r="C36" s="2" t="str">
        <x:v>Uses free, online, 50 minutes, saved response plus request, and the exact current URL. No old paid/in-person/30-minute/certificate details or implied scheduled advanced session.</x:v>
      </x:c>
    </x:row>
    <x:row r="37" ht="39.599998474121094" hidden="0" customHeight="1">
      <x:c r="A37" s="2" t="str">
        <x:v>R08</x:v>
      </x:c>
      <x:c r="B37" s="2" t="str">
        <x:v>Explain to a beginner</x:v>
      </x:c>
      <x:c r="C37" s="2" t="str">
        <x:v>Distinguishes before-release checks from after-release monitoring, with a concrete shop example for each. No undefined acronyms or claim that either guarantees correctness. At most 110 words.</x:v>
      </x:c>
    </x:row>
    <x:row r="38" ht="52.79999923706055" hidden="0" customHeight="1">
      <x:c r="A38" s="2" t="str">
        <x:v>R09</x:v>
      </x:c>
      <x:c r="B38" s="2" t="str">
        <x:v>Tone under an uncomfortable update</x:v>
      </x:c>
      <x:c r="C38" s="2" t="str">
        <x:v>Acknowledges disruption, preserves the 40-minute window and restored status, and uses the exact support address. No invented cause, compensation or guarantee. Tone does not minimize the inconvenience or celebrate the incident.</x:v>
      </x:c>
    </x:row>
    <x:row r="39" ht="52.79999923706055" hidden="0" customHeight="1">
      <x:c r="A39" s="2" t="str">
        <x:v>R10</x:v>
      </x:c>
      <x:c r="B39" s="2" t="str">
        <x:v>Format and closing constraints</x:v>
      </x:c>
      <x:c r="C39" s="2" t="str">
        <x:v>One opening, exactly two bullets and one declarative closing; at most 75 words. Covers both checks without imperatives, questions or unsupported performance claims. A closing like 'Review both' fails under rubric v4.</x:v>
      </x:c>
    </x:row>
    <x:row r="40" ht="15" hidden="0" customHeight="1">
      <x:c r="A40" s="2" t="str"/>
      <x:c r="B40" s="2" t="str"/>
      <x:c r="C40" s="2" t="str"/>
    </x:row>
    <x:row r="41" ht="39.599998474121094" hidden="0" customHeight="1">
      <x:c r="A41" s="2" t="str">
        <x:v>Rubric version</x:v>
      </x:c>
      <x:c r="B41" s="2" t="str">
        <x:v>social-dimensions-v4 | 2026-10-27</x:v>
      </x:c>
      <x:c r="C41" s="2" t="str">
        <x:v>Ten challenge inputs are ready to run. They are tests, not guaranteed failures. Retain all results. Use historical worked failures for teaching even if this batch passes.</x:v>
      </x:c>
    </x:row>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1" ySplit="1" topLeftCell="B2" activePane="bottomRight" state="frozen"/>
    </x:sheetView>
  </x:sheetViews>
  <x:sheetFormatPr defaultColWidth="12.630000114440918" defaultRowHeight="15"/>
  <x:cols>
    <x:col min="1" max="1" width="11.130000114440918" customWidth="1"/>
    <x:col min="2" max="2" width="33.380001068115234" customWidth="1"/>
    <x:col min="3" max="3" width="46.630001068115234" customWidth="1"/>
    <x:col min="4" max="4" width="22.6299991607666" customWidth="1"/>
    <x:col min="5" max="9" width="16.3799991607666" customWidth="1"/>
    <x:col min="10" max="11" width="45.130001068115234" customWidth="1"/>
    <x:col min="12" max="26" width="8.630000114440918" customWidth="1"/>
  </x:cols>
  <x:sheetData>
    <x:row r="1">
      <x:c r="A1" s="1" t="s">
        <x:v>0</x:v>
      </x:c>
      <x:c r="B1" s="1" t="s">
        <x:v>1</x:v>
      </x:c>
      <x:c r="C1" s="1" t="s">
        <x:v>2</x:v>
      </x:c>
      <x:c r="D1" s="1" t="s">
        <x:v>3</x:v>
      </x:c>
      <x:c r="E1" s="1" t="s">
        <x:v>4</x:v>
      </x:c>
      <x:c r="F1" s="1" t="s">
        <x:v>5</x:v>
      </x:c>
      <x:c r="G1" s="1" t="s">
        <x:v>6</x:v>
      </x:c>
      <x:c r="H1" s="1" t="s">
        <x:v>7</x:v>
      </x:c>
      <x:c r="I1" s="1" t="s">
        <x:v>8</x:v>
      </x:c>
      <x:c r="J1" s="1" t="s">
        <x:v>9</x:v>
      </x:c>
      <x:c r="K1" s="1" t="s">
        <x:v>10</x:v>
      </x:c>
    </x:row>
    <x:row r="2" ht="600" customHeight="1">
      <x:c r="A2" s="3" t="s">
        <x:v>11</x:v>
      </x:c>
      <x:c r="B2" s="3" t="s">
        <x:v>12</x:v>
      </x:c>
      <x:c r="C2" s="3" t="s">
        <x:v>13</x:v>
      </x:c>
      <x:c r="D2" s="4"/>
      <x:c r="E2" s="4" t="s">
        <x:v>14</x:v>
      </x:c>
      <x:c r="F2" s="4" t="s">
        <x:v>15</x:v>
      </x:c>
      <x:c r="G2" s="4" t="s">
        <x:v>15</x:v>
      </x:c>
      <x:c r="H2" s="4" t="s">
        <x:v>14</x:v>
      </x:c>
      <x:c r="I2" s="7" t="str">
        <x:f t="shared" ref="I2:I13" si="1">IF(C2="","",IF(COUNTIF(D2:H2,"FAIL")&gt;0,"FAIL",IF(COUNTIF(D2:H2,"PASS")=5,"PASS","PENDING")))</x:f>
        <x:v>FAIL</x:v>
      </x:c>
      <x:c r="J2" s="4" t="s">
        <x:v>16</x:v>
      </x:c>
      <x:c r="K2" s="4" t="s">
        <x:v>17</x:v>
      </x:c>
    </x:row>
    <x:row r="3" ht="600" customHeight="1">
      <x:c r="A3" s="3" t="s">
        <x:v>18</x:v>
      </x:c>
      <x:c r="B3" s="3" t="s">
        <x:v>19</x:v>
      </x:c>
      <x:c r="C3" s="3" t="s">
        <x:v>20</x:v>
      </x:c>
      <x:c r="D3" s="6"/>
      <x:c r="E3" s="4" t="s">
        <x:v>15</x:v>
      </x:c>
      <x:c r="F3" s="4" t="s">
        <x:v>15</x:v>
      </x:c>
      <x:c r="G3" s="4" t="s">
        <x:v>14</x:v>
      </x:c>
      <x:c r="H3" s="4" t="s">
        <x:v>14</x:v>
      </x:c>
      <x:c r="I3" s="7" t="str">
        <x:f t="shared" si="1"/>
        <x:v>FAIL</x:v>
      </x:c>
      <x:c r="J3" s="4" t="s">
        <x:v>21</x:v>
      </x:c>
      <x:c r="K3" s="4" t="s">
        <x:v>22</x:v>
      </x:c>
    </x:row>
    <x:row r="4" ht="600" customHeight="1">
      <x:c r="A4" s="3" t="s">
        <x:v>23</x:v>
      </x:c>
      <x:c r="B4" s="3" t="s">
        <x:v>24</x:v>
      </x:c>
      <x:c r="C4" s="3" t="s">
        <x:v>25</x:v>
      </x:c>
      <x:c r="D4" s="4" t="s">
        <x:v>15</x:v>
      </x:c>
      <x:c r="E4" s="4" t="s">
        <x:v>14</x:v>
      </x:c>
      <x:c r="F4" s="4" t="s">
        <x:v>15</x:v>
      </x:c>
      <x:c r="G4" s="4" t="s">
        <x:v>15</x:v>
      </x:c>
      <x:c r="H4" s="4" t="s">
        <x:v>14</x:v>
      </x:c>
      <x:c r="I4" s="7" t="str">
        <x:f t="shared" si="1"/>
        <x:v>FAIL</x:v>
      </x:c>
      <x:c r="J4" s="4" t="s">
        <x:v>26</x:v>
      </x:c>
      <x:c r="K4" s="4" t="s">
        <x:v>27</x:v>
      </x:c>
    </x:row>
    <x:row r="5" ht="600" customHeight="1">
      <x:c r="A5" s="3" t="s">
        <x:v>28</x:v>
      </x:c>
      <x:c r="B5" s="3" t="s">
        <x:v>29</x:v>
      </x:c>
      <x:c r="C5" s="3" t="s">
        <x:v>30</x:v>
      </x:c>
      <x:c r="D5" s="6"/>
      <x:c r="E5" s="4" t="s">
        <x:v>15</x:v>
      </x:c>
      <x:c r="F5" s="4" t="s">
        <x:v>15</x:v>
      </x:c>
      <x:c r="G5" s="4" t="s">
        <x:v>14</x:v>
      </x:c>
      <x:c r="H5" s="4" t="s">
        <x:v>14</x:v>
      </x:c>
      <x:c r="I5" s="7" t="str">
        <x:f t="shared" si="1"/>
        <x:v>FAIL</x:v>
      </x:c>
      <x:c r="J5" s="4" t="s">
        <x:v>31</x:v>
      </x:c>
      <x:c r="K5" s="4" t="s">
        <x:v>22</x:v>
      </x:c>
    </x:row>
    <x:row r="6" ht="600" customHeight="1">
      <x:c r="A6" s="3" t="s">
        <x:v>32</x:v>
      </x:c>
      <x:c r="B6" s="3" t="s">
        <x:v>33</x:v>
      </x:c>
      <x:c r="C6" s="3" t="s">
        <x:v>34</x:v>
      </x:c>
      <x:c r="D6" s="6"/>
      <x:c r="E6" s="4" t="s">
        <x:v>14</x:v>
      </x:c>
      <x:c r="F6" s="4" t="s">
        <x:v>15</x:v>
      </x:c>
      <x:c r="G6" s="4" t="s">
        <x:v>15</x:v>
      </x:c>
      <x:c r="H6" s="4" t="s">
        <x:v>14</x:v>
      </x:c>
      <x:c r="I6" s="7" t="str">
        <x:f t="shared" si="1"/>
        <x:v>FAIL</x:v>
      </x:c>
      <x:c r="J6" s="4" t="s">
        <x:v>35</x:v>
      </x:c>
      <x:c r="K6" s="4" t="s">
        <x:v>17</x:v>
      </x:c>
    </x:row>
    <x:row r="7" ht="600" customHeight="1">
      <x:c r="A7" s="3" t="s">
        <x:v>36</x:v>
      </x:c>
      <x:c r="B7" s="3" t="s">
        <x:v>37</x:v>
      </x:c>
      <x:c r="C7" s="3" t="s">
        <x:v>38</x:v>
      </x:c>
      <x:c r="D7" s="4" t="s">
        <x:v>15</x:v>
      </x:c>
      <x:c r="E7" s="4" t="s">
        <x:v>14</x:v>
      </x:c>
      <x:c r="F7" s="4" t="s">
        <x:v>14</x:v>
      </x:c>
      <x:c r="G7" s="4" t="s">
        <x:v>14</x:v>
      </x:c>
      <x:c r="H7" s="4" t="s">
        <x:v>14</x:v>
      </x:c>
      <x:c r="I7" s="7" t="str">
        <x:f t="shared" si="1"/>
        <x:v>FAIL</x:v>
      </x:c>
      <x:c r="J7" s="4" t="s">
        <x:v>39</x:v>
      </x:c>
      <x:c r="K7" s="4" t="s">
        <x:v>27</x:v>
      </x:c>
    </x:row>
    <x:row r="8" ht="600" customHeight="1">
      <x:c r="A8" s="3" t="s">
        <x:v>40</x:v>
      </x:c>
      <x:c r="B8" s="3" t="s">
        <x:v>41</x:v>
      </x:c>
      <x:c r="C8" s="3" t="s">
        <x:v>42</x:v>
      </x:c>
      <x:c r="D8" s="6"/>
      <x:c r="E8" s="4" t="s">
        <x:v>14</x:v>
      </x:c>
      <x:c r="F8" s="4" t="s">
        <x:v>15</x:v>
      </x:c>
      <x:c r="G8" s="4" t="s">
        <x:v>15</x:v>
      </x:c>
      <x:c r="H8" s="4" t="s">
        <x:v>14</x:v>
      </x:c>
      <x:c r="I8" s="7" t="str">
        <x:f t="shared" si="1"/>
        <x:v>FAIL</x:v>
      </x:c>
      <x:c r="J8" s="4" t="s">
        <x:v>43</x:v>
      </x:c>
      <x:c r="K8" s="4" t="s">
        <x:v>17</x:v>
      </x:c>
    </x:row>
    <x:row r="9" ht="600" customHeight="1">
      <x:c r="A9" s="3" t="s">
        <x:v>44</x:v>
      </x:c>
      <x:c r="B9" s="3" t="s">
        <x:v>45</x:v>
      </x:c>
      <x:c r="C9" s="3" t="s">
        <x:v>46</x:v>
      </x:c>
      <x:c r="D9" s="4" t="s">
        <x:v>15</x:v>
      </x:c>
      <x:c r="E9" s="4" t="s">
        <x:v>14</x:v>
      </x:c>
      <x:c r="F9" s="4" t="s">
        <x:v>15</x:v>
      </x:c>
      <x:c r="G9" s="4" t="s">
        <x:v>15</x:v>
      </x:c>
      <x:c r="H9" s="4" t="s">
        <x:v>15</x:v>
      </x:c>
      <x:c r="I9" s="7" t="str">
        <x:f t="shared" si="1"/>
        <x:v>FAIL</x:v>
      </x:c>
      <x:c r="J9" s="4" t="s">
        <x:v>47</x:v>
      </x:c>
      <x:c r="K9" s="4" t="s">
        <x:v>17</x:v>
      </x:c>
    </x:row>
    <x:row r="10" ht="600" customHeight="1">
      <x:c r="A10" s="3" t="s">
        <x:v>48</x:v>
      </x:c>
      <x:c r="B10" s="3" t="s">
        <x:v>49</x:v>
      </x:c>
      <x:c r="C10" s="3" t="s">
        <x:v>50</x:v>
      </x:c>
      <x:c r="D10" s="4" t="s">
        <x:v>14</x:v>
      </x:c>
      <x:c r="E10" s="4" t="s">
        <x:v>14</x:v>
      </x:c>
      <x:c r="F10" s="4" t="s">
        <x:v>14</x:v>
      </x:c>
      <x:c r="G10" s="4" t="s">
        <x:v>15</x:v>
      </x:c>
      <x:c r="H10" s="4" t="s">
        <x:v>14</x:v>
      </x:c>
      <x:c r="I10" s="7" t="str">
        <x:f t="shared" si="1"/>
        <x:v>FAIL</x:v>
      </x:c>
      <x:c r="J10" s="4" t="s">
        <x:v>51</x:v>
      </x:c>
      <x:c r="K10" s="4" t="s">
        <x:v>52</x:v>
      </x:c>
    </x:row>
    <x:row r="11" ht="600" customHeight="1">
      <x:c r="A11" s="3" t="s">
        <x:v>53</x:v>
      </x:c>
      <x:c r="B11" s="3" t="s">
        <x:v>54</x:v>
      </x:c>
      <x:c r="C11" s="3" t="s">
        <x:v>55</x:v>
      </x:c>
      <x:c r="D11" s="6"/>
      <x:c r="E11" s="4" t="s">
        <x:v>14</x:v>
      </x:c>
      <x:c r="F11" s="4" t="s">
        <x:v>14</x:v>
      </x:c>
      <x:c r="G11" s="4" t="s">
        <x:v>15</x:v>
      </x:c>
      <x:c r="H11" s="4" t="s">
        <x:v>14</x:v>
      </x:c>
      <x:c r="I11" s="7" t="str">
        <x:f t="shared" si="1"/>
        <x:v>FAIL</x:v>
      </x:c>
      <x:c r="J11" s="4" t="s">
        <x:v>56</x:v>
      </x:c>
      <x:c r="K11" s="4" t="s">
        <x:v>52</x:v>
      </x:c>
    </x:row>
    <x:row r="12" ht="600" customHeight="1">
      <x:c r="A12" s="3" t="s">
        <x:v>57</x:v>
      </x:c>
      <x:c r="B12" s="3" t="s">
        <x:v>58</x:v>
      </x:c>
      <x:c r="C12" s="3" t="s">
        <x:v>59</x:v>
      </x:c>
      <x:c r="D12" s="4" t="s">
        <x:v>15</x:v>
      </x:c>
      <x:c r="E12" s="4" t="s">
        <x:v>14</x:v>
      </x:c>
      <x:c r="F12" s="4" t="s">
        <x:v>14</x:v>
      </x:c>
      <x:c r="G12" s="4" t="s">
        <x:v>15</x:v>
      </x:c>
      <x:c r="H12" s="4" t="s">
        <x:v>14</x:v>
      </x:c>
      <x:c r="I12" s="7" t="str">
        <x:f t="shared" si="1"/>
        <x:v>FAIL</x:v>
      </x:c>
      <x:c r="J12" s="4" t="s">
        <x:v>60</x:v>
      </x:c>
      <x:c r="K12" s="4" t="s">
        <x:v>27</x:v>
      </x:c>
    </x:row>
    <x:row r="13" ht="600" customHeight="1">
      <x:c r="A13" s="3" t="s">
        <x:v>61</x:v>
      </x:c>
      <x:c r="B13" s="3" t="s">
        <x:v>62</x:v>
      </x:c>
      <x:c r="C13" s="3" t="s">
        <x:v>63</x:v>
      </x:c>
      <x:c r="D13" s="4" t="s">
        <x:v>15</x:v>
      </x:c>
      <x:c r="E13" s="4" t="s">
        <x:v>14</x:v>
      </x:c>
      <x:c r="F13" s="4" t="s">
        <x:v>14</x:v>
      </x:c>
      <x:c r="G13" s="4" t="s">
        <x:v>14</x:v>
      </x:c>
      <x:c r="H13" s="4" t="s">
        <x:v>14</x:v>
      </x:c>
      <x:c r="I13" s="7" t="str">
        <x:f t="shared" si="1"/>
        <x:v>FAIL</x:v>
      </x:c>
      <x:c r="J13" s="4" t="s">
        <x:v>64</x:v>
      </x:c>
      <x:c r="K13" s="4" t="s">
        <x:v>27</x:v>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conditionalFormatting sqref="D2:I13">
    <x:cfRule type="containsText" dxfId="0" priority="1" operator="containsText" text="PASS">
      <x:formula>NOT(ISERROR(SEARCH(("PASS"),(D2))))</x:formula>
    </x:cfRule>
  </x:conditionalFormatting>
  <x:conditionalFormatting sqref="D2:I13">
    <x:cfRule type="containsText" dxfId="1" priority="2" operator="containsText" text="FAIL">
      <x:formula>NOT(ISERROR(SEARCH(("FAIL"),(D2))))</x:formula>
    </x:cfRule>
  </x:conditionalFormatting>
  <x:dataValidations count="2">
    <x:dataValidation type="list" allowBlank="1" sqref="K2:K13">
      <x:formula1>"False or Unsupported Claims,Missing Useful Content,Missing Essential Details,Missing Closing Action"</x:formula1>
    </x:dataValidation>
    <x:dataValidation type="list" allowBlank="1" sqref="D2:H13">
      <x:formula1>"PASS,FAIL"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1" ySplit="1" topLeftCell="B2" activePane="bottomRight" state="frozen"/>
    </x:sheetView>
  </x:sheetViews>
  <x:sheetFormatPr defaultColWidth="12.630000114440918" defaultRowHeight="15"/>
  <x:cols>
    <x:col min="1" max="1" width="9.5" customWidth="1"/>
    <x:col min="2" max="2" width="33.380001068115234" customWidth="1"/>
    <x:col min="3" max="3" width="38.880001068115234" customWidth="1"/>
    <x:col min="4" max="4" width="20" customWidth="1"/>
    <x:col min="5" max="5" width="10.5" customWidth="1"/>
    <x:col min="6" max="7" width="12.75" customWidth="1"/>
    <x:col min="8" max="8" width="11.630000114440918" customWidth="1"/>
    <x:col min="9" max="9" width="11.130000114440918" customWidth="1"/>
    <x:col min="10" max="10" width="33.380001068115234" customWidth="1"/>
    <x:col min="11" max="11" width="20" customWidth="1"/>
    <x:col min="12" max="26" width="8.630000114440918" customWidth="1"/>
  </x:cols>
  <x:sheetData>
    <x:row r="1" ht="33.75" customHeight="1">
      <x:c r="A1" s="1" t="s">
        <x:v>0</x:v>
      </x:c>
      <x:c r="B1" s="1" t="s">
        <x:v>1</x:v>
      </x:c>
      <x:c r="C1" s="1" t="s">
        <x:v>2</x:v>
      </x:c>
      <x:c r="D1" s="1" t="s">
        <x:v>3</x:v>
      </x:c>
      <x:c r="E1" s="1" t="s">
        <x:v>4</x:v>
      </x:c>
      <x:c r="F1" s="1" t="s">
        <x:v>5</x:v>
      </x:c>
      <x:c r="G1" s="1" t="s">
        <x:v>6</x:v>
      </x:c>
      <x:c r="H1" s="1" t="s">
        <x:v>7</x:v>
      </x:c>
      <x:c r="I1" s="1" t="s">
        <x:v>8</x:v>
      </x:c>
      <x:c r="J1" s="1" t="s">
        <x:v>9</x:v>
      </x:c>
      <x:c r="K1" s="1" t="s">
        <x:v>10</x:v>
      </x:c>
    </x:row>
    <x:row r="2" ht="159.75" customHeight="1">
      <x:c r="A2" s="2" t="s">
        <x:v>65</x:v>
      </x:c>
      <x:c r="B2" s="2"/>
      <x:c r="C2" s="3"/>
      <x:c r="D2" s="4"/>
      <x:c r="E2" s="4"/>
      <x:c r="F2" s="4"/>
      <x:c r="G2" s="4"/>
      <x:c r="H2" s="4"/>
      <x:c r="I2" s="7" t="str">
        <x:f t="shared" ref="I2:I11" si="1">IF(C2="","",IF(COUNTIF(D2:H2,"FAIL")&gt;0,"FAIL",IF(COUNTIF(D2:H2,"PASS")=5,"PASS","PENDING")))</x:f>
      </x:c>
      <x:c r="J2" s="6"/>
      <x:c r="K2" s="6"/>
    </x:row>
    <x:row r="3" ht="159.75" customHeight="1">
      <x:c r="A3" s="2" t="s">
        <x:v>66</x:v>
      </x:c>
      <x:c r="B3" s="2"/>
      <x:c r="C3" s="2"/>
      <x:c r="D3" s="6"/>
      <x:c r="E3" s="6"/>
      <x:c r="F3" s="6"/>
      <x:c r="G3" s="6"/>
      <x:c r="H3" s="6"/>
      <x:c r="I3" s="7" t="str">
        <x:f t="shared" si="1"/>
      </x:c>
      <x:c r="J3" s="6"/>
      <x:c r="K3" s="6"/>
    </x:row>
    <x:row r="4" ht="159.75" customHeight="1">
      <x:c r="A4" s="2" t="s">
        <x:v>67</x:v>
      </x:c>
      <x:c r="B4" s="2"/>
      <x:c r="C4" s="2"/>
      <x:c r="D4" s="6"/>
      <x:c r="E4" s="6"/>
      <x:c r="F4" s="6"/>
      <x:c r="G4" s="6"/>
      <x:c r="H4" s="6"/>
      <x:c r="I4" s="7" t="str">
        <x:f t="shared" si="1"/>
      </x:c>
      <x:c r="J4" s="6"/>
      <x:c r="K4" s="6"/>
    </x:row>
    <x:row r="5" ht="159.75" customHeight="1">
      <x:c r="A5" s="2" t="s">
        <x:v>68</x:v>
      </x:c>
      <x:c r="B5" s="2"/>
      <x:c r="C5" s="2"/>
      <x:c r="D5" s="6"/>
      <x:c r="E5" s="6"/>
      <x:c r="F5" s="6"/>
      <x:c r="G5" s="6"/>
      <x:c r="H5" s="6"/>
      <x:c r="I5" s="7" t="str">
        <x:f t="shared" si="1"/>
      </x:c>
      <x:c r="J5" s="6"/>
      <x:c r="K5" s="6"/>
    </x:row>
    <x:row r="6" ht="159.75" customHeight="1">
      <x:c r="A6" s="2" t="s">
        <x:v>69</x:v>
      </x:c>
      <x:c r="B6" s="2"/>
      <x:c r="C6" s="2"/>
      <x:c r="D6" s="6"/>
      <x:c r="E6" s="6"/>
      <x:c r="F6" s="6"/>
      <x:c r="G6" s="6"/>
      <x:c r="H6" s="6"/>
      <x:c r="I6" s="7" t="str">
        <x:f t="shared" si="1"/>
      </x:c>
      <x:c r="J6" s="6"/>
      <x:c r="K6" s="6"/>
    </x:row>
    <x:row r="7" ht="159.75" customHeight="1">
      <x:c r="A7" s="2" t="s">
        <x:v>70</x:v>
      </x:c>
      <x:c r="B7" s="2"/>
      <x:c r="C7" s="2"/>
      <x:c r="D7" s="6"/>
      <x:c r="E7" s="6"/>
      <x:c r="F7" s="6"/>
      <x:c r="G7" s="6"/>
      <x:c r="H7" s="6"/>
      <x:c r="I7" s="7" t="str">
        <x:f t="shared" si="1"/>
      </x:c>
      <x:c r="J7" s="6"/>
      <x:c r="K7" s="6"/>
    </x:row>
    <x:row r="8" ht="159.75" customHeight="1">
      <x:c r="A8" s="2" t="s">
        <x:v>71</x:v>
      </x:c>
      <x:c r="B8" s="2"/>
      <x:c r="C8" s="2"/>
      <x:c r="D8" s="6"/>
      <x:c r="E8" s="6"/>
      <x:c r="F8" s="6"/>
      <x:c r="G8" s="6"/>
      <x:c r="H8" s="6"/>
      <x:c r="I8" s="7" t="str">
        <x:f t="shared" si="1"/>
      </x:c>
      <x:c r="J8" s="6"/>
      <x:c r="K8" s="6"/>
    </x:row>
    <x:row r="9" ht="159.75" customHeight="1">
      <x:c r="A9" s="2" t="s">
        <x:v>72</x:v>
      </x:c>
      <x:c r="B9" s="2"/>
      <x:c r="C9" s="2"/>
      <x:c r="D9" s="6"/>
      <x:c r="E9" s="6"/>
      <x:c r="F9" s="6"/>
      <x:c r="G9" s="6"/>
      <x:c r="H9" s="6"/>
      <x:c r="I9" s="7" t="str">
        <x:f t="shared" si="1"/>
      </x:c>
      <x:c r="J9" s="6"/>
      <x:c r="K9" s="6"/>
    </x:row>
    <x:row r="10" ht="159.75" customHeight="1">
      <x:c r="A10" s="2" t="s">
        <x:v>73</x:v>
      </x:c>
      <x:c r="B10" s="2"/>
      <x:c r="C10" s="2"/>
      <x:c r="D10" s="6"/>
      <x:c r="E10" s="6"/>
      <x:c r="F10" s="6"/>
      <x:c r="G10" s="6"/>
      <x:c r="H10" s="6"/>
      <x:c r="I10" s="7" t="str">
        <x:f t="shared" si="1"/>
      </x:c>
      <x:c r="J10" s="6"/>
      <x:c r="K10" s="6"/>
    </x:row>
    <x:row r="11" ht="159.75" customHeight="1">
      <x:c r="A11" s="2" t="s">
        <x:v>74</x:v>
      </x:c>
      <x:c r="B11" s="2"/>
      <x:c r="C11" s="2"/>
      <x:c r="D11" s="6"/>
      <x:c r="E11" s="6"/>
      <x:c r="F11" s="6"/>
      <x:c r="G11" s="6"/>
      <x:c r="H11" s="6"/>
      <x:c r="I11" s="7" t="str">
        <x:f t="shared" si="1"/>
      </x:c>
      <x:c r="J11" s="6"/>
      <x:c r="K11" s="6"/>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conditionalFormatting sqref="D2:I11">
    <x:cfRule type="containsText" dxfId="0" priority="1" operator="containsText" text="PASS">
      <x:formula>NOT(ISERROR(SEARCH(("PASS"),(D2))))</x:formula>
    </x:cfRule>
  </x:conditionalFormatting>
  <x:conditionalFormatting sqref="D2:I11">
    <x:cfRule type="containsText" dxfId="1" priority="2" operator="containsText" text="FAIL">
      <x:formula>NOT(ISERROR(SEARCH(("FAIL"),(D2))))</x:formula>
    </x:cfRule>
  </x:conditionalFormatting>
  <x:dataValidations count="2">
    <x:dataValidation type="list" allowBlank="1" sqref="K2:K11">
      <x:formula1>"False or Unsupported Claims,Missing Useful Content,Missing Essential Details,Missing Closing Action"</x:formula1>
    </x:dataValidation>
    <x:dataValidation type="list" allowBlank="1" sqref="D2:H11">
      <x:formula1>"PASS,FAIL"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xSplit="1" ySplit="1" topLeftCell="B2" activePane="bottomRight" state="frozen"/>
    </x:sheetView>
  </x:sheetViews>
  <x:sheetFormatPr defaultColWidth="12.630000114440918" defaultRowHeight="15"/>
  <x:cols>
    <x:col min="1" max="1" width="9.5" customWidth="1"/>
    <x:col min="2" max="2" width="33.380001068115234" customWidth="1"/>
    <x:col min="3" max="3" width="38.880001068115234" customWidth="1"/>
    <x:col min="4" max="4" width="20" customWidth="1"/>
    <x:col min="5" max="5" width="10.5" customWidth="1"/>
    <x:col min="6" max="7" width="12.75" customWidth="1"/>
    <x:col min="8" max="8" width="11.630000114440918" customWidth="1"/>
    <x:col min="9" max="9" width="11.130000114440918" customWidth="1"/>
    <x:col min="10" max="10" width="33.380001068115234" customWidth="1"/>
    <x:col min="11" max="11" width="20" customWidth="1"/>
    <x:col min="12" max="26" width="8.630000114440918" customWidth="1"/>
  </x:cols>
  <x:sheetData>
    <x:row r="1" ht="33.75" customHeight="1">
      <x:c r="A1" s="1" t="s">
        <x:v>0</x:v>
      </x:c>
      <x:c r="B1" s="1" t="s">
        <x:v>1</x:v>
      </x:c>
      <x:c r="C1" s="1" t="s">
        <x:v>2</x:v>
      </x:c>
      <x:c r="D1" s="1" t="s">
        <x:v>3</x:v>
      </x:c>
      <x:c r="E1" s="1" t="s">
        <x:v>4</x:v>
      </x:c>
      <x:c r="F1" s="1" t="s">
        <x:v>5</x:v>
      </x:c>
      <x:c r="G1" s="1" t="s">
        <x:v>6</x:v>
      </x:c>
      <x:c r="H1" s="1" t="s">
        <x:v>7</x:v>
      </x:c>
      <x:c r="I1" s="1" t="s">
        <x:v>8</x:v>
      </x:c>
      <x:c r="J1" s="1" t="s">
        <x:v>9</x:v>
      </x:c>
      <x:c r="K1" s="1" t="s">
        <x:v>10</x:v>
      </x:c>
    </x:row>
    <x:row r="2" ht="159.75" customHeight="1">
      <x:c r="A2" s="2"/>
      <x:c r="B2" s="2"/>
      <x:c r="C2" s="2"/>
      <x:c r="D2" s="6"/>
      <x:c r="E2" s="6"/>
      <x:c r="F2" s="6"/>
      <x:c r="G2" s="6"/>
      <x:c r="H2" s="6"/>
      <x:c r="I2" s="7" t="str">
        <x:f t="shared" ref="I2:I11" si="1">IF(C2="","",IF(COUNTIF(D2:H2,"FAIL")&gt;0,"FAIL",IF(COUNTIF(D2:H2,"PASS")=5,"PASS","PENDING")))</x:f>
      </x:c>
      <x:c r="J2" s="6"/>
      <x:c r="K2" s="6"/>
    </x:row>
    <x:row r="3" ht="159.75" customHeight="1">
      <x:c r="A3" s="2"/>
      <x:c r="B3" s="2"/>
      <x:c r="C3" s="2"/>
      <x:c r="D3" s="6"/>
      <x:c r="E3" s="6"/>
      <x:c r="F3" s="6"/>
      <x:c r="G3" s="6"/>
      <x:c r="H3" s="6"/>
      <x:c r="I3" s="7" t="str">
        <x:f t="shared" si="1"/>
      </x:c>
      <x:c r="J3" s="6"/>
      <x:c r="K3" s="6"/>
    </x:row>
    <x:row r="4" ht="159.75" customHeight="1">
      <x:c r="A4" s="2"/>
      <x:c r="B4" s="2"/>
      <x:c r="C4" s="2"/>
      <x:c r="D4" s="6"/>
      <x:c r="E4" s="6"/>
      <x:c r="F4" s="6"/>
      <x:c r="G4" s="6"/>
      <x:c r="H4" s="6"/>
      <x:c r="I4" s="7" t="str">
        <x:f t="shared" si="1"/>
      </x:c>
      <x:c r="J4" s="6"/>
      <x:c r="K4" s="6"/>
    </x:row>
    <x:row r="5" ht="159.75" customHeight="1">
      <x:c r="A5" s="2"/>
      <x:c r="B5" s="2"/>
      <x:c r="C5" s="2"/>
      <x:c r="D5" s="6"/>
      <x:c r="E5" s="6"/>
      <x:c r="F5" s="6"/>
      <x:c r="G5" s="6"/>
      <x:c r="H5" s="6"/>
      <x:c r="I5" s="7" t="str">
        <x:f t="shared" si="1"/>
      </x:c>
      <x:c r="J5" s="6"/>
      <x:c r="K5" s="6"/>
    </x:row>
    <x:row r="6" ht="159.75" customHeight="1">
      <x:c r="A6" s="2"/>
      <x:c r="B6" s="2"/>
      <x:c r="C6" s="2"/>
      <x:c r="D6" s="6"/>
      <x:c r="E6" s="6"/>
      <x:c r="F6" s="6"/>
      <x:c r="G6" s="6"/>
      <x:c r="H6" s="6"/>
      <x:c r="I6" s="7" t="str">
        <x:f t="shared" si="1"/>
      </x:c>
      <x:c r="J6" s="6"/>
      <x:c r="K6" s="6"/>
    </x:row>
    <x:row r="7" ht="159.75" customHeight="1">
      <x:c r="A7" s="2"/>
      <x:c r="B7" s="2"/>
      <x:c r="C7" s="2"/>
      <x:c r="D7" s="6"/>
      <x:c r="E7" s="6"/>
      <x:c r="F7" s="6"/>
      <x:c r="G7" s="6"/>
      <x:c r="H7" s="6"/>
      <x:c r="I7" s="7" t="str">
        <x:f t="shared" si="1"/>
      </x:c>
      <x:c r="J7" s="6"/>
      <x:c r="K7" s="6"/>
    </x:row>
    <x:row r="8" ht="159.75" customHeight="1">
      <x:c r="A8" s="2"/>
      <x:c r="B8" s="2"/>
      <x:c r="C8" s="2"/>
      <x:c r="D8" s="6"/>
      <x:c r="E8" s="6"/>
      <x:c r="F8" s="6"/>
      <x:c r="G8" s="6"/>
      <x:c r="H8" s="6"/>
      <x:c r="I8" s="7" t="str">
        <x:f t="shared" si="1"/>
      </x:c>
      <x:c r="J8" s="6"/>
      <x:c r="K8" s="6"/>
    </x:row>
    <x:row r="9" ht="159.75" customHeight="1">
      <x:c r="A9" s="2"/>
      <x:c r="B9" s="2"/>
      <x:c r="C9" s="2"/>
      <x:c r="D9" s="6"/>
      <x:c r="E9" s="6"/>
      <x:c r="F9" s="6"/>
      <x:c r="G9" s="6"/>
      <x:c r="H9" s="6"/>
      <x:c r="I9" s="7" t="str">
        <x:f t="shared" si="1"/>
      </x:c>
      <x:c r="J9" s="6"/>
      <x:c r="K9" s="6"/>
    </x:row>
    <x:row r="10" ht="159.75" customHeight="1">
      <x:c r="A10" s="2"/>
      <x:c r="B10" s="2"/>
      <x:c r="C10" s="2"/>
      <x:c r="D10" s="6"/>
      <x:c r="E10" s="6"/>
      <x:c r="F10" s="6"/>
      <x:c r="G10" s="6"/>
      <x:c r="H10" s="6"/>
      <x:c r="I10" s="7" t="str">
        <x:f t="shared" si="1"/>
      </x:c>
      <x:c r="J10" s="6"/>
      <x:c r="K10" s="6"/>
    </x:row>
    <x:row r="11" ht="159.75" customHeight="1">
      <x:c r="A11" s="2"/>
      <x:c r="B11" s="2"/>
      <x:c r="C11" s="2"/>
      <x:c r="D11" s="6"/>
      <x:c r="E11" s="6"/>
      <x:c r="F11" s="6"/>
      <x:c r="G11" s="6"/>
      <x:c r="H11" s="6"/>
      <x:c r="I11" s="7" t="str">
        <x:f t="shared" si="1"/>
      </x:c>
      <x:c r="J11" s="6"/>
      <x:c r="K11" s="6"/>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conditionalFormatting sqref="D2:I11">
    <x:cfRule type="containsText" dxfId="0" priority="1" operator="containsText" text="PASS">
      <x:formula>NOT(ISERROR(SEARCH(("PASS"),(D2))))</x:formula>
    </x:cfRule>
  </x:conditionalFormatting>
  <x:conditionalFormatting sqref="D2:I11">
    <x:cfRule type="containsText" dxfId="1" priority="2" operator="containsText" text="FAIL">
      <x:formula>NOT(ISERROR(SEARCH(("FAIL"),(D2))))</x:formula>
    </x:cfRule>
  </x:conditionalFormatting>
  <x:dataValidations count="2">
    <x:dataValidation type="list" allowBlank="1" sqref="K2:K11">
      <x:formula1>"False or Unsupported Claims,Missing Useful Content,Missing Essential Details,Missing Closing Action"</x:formula1>
    </x:dataValidation>
    <x:dataValidation type="list" allowBlank="1" sqref="D2:H11">
      <x:formula1>"PASS,FAIL"</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ColWidth="12.630000114440918" defaultRowHeight="15"/>
  <x:cols>
    <x:col min="1" max="1" width="11.130000114440918" customWidth="1"/>
    <x:col min="2" max="3" width="16.6299991607666" customWidth="1"/>
    <x:col min="4" max="4" width="22.25" customWidth="1"/>
    <x:col min="5" max="26" width="8.630000114440918" customWidth="1"/>
  </x:cols>
  <x:sheetData>
    <x:row r="1" ht="33.75" customHeight="1">
      <x:c r="A1" s="1" t="s">
        <x:v>0</x:v>
      </x:c>
      <x:c r="B1" s="1" t="s">
        <x:v>75</x:v>
      </x:c>
      <x:c r="C1" s="1" t="s">
        <x:v>76</x:v>
      </x:c>
      <x:c r="D1" s="1" t="s">
        <x:v>77</x:v>
      </x:c>
    </x:row>
    <x:row r="2" ht="30" customHeight="1">
      <x:c r="A2" s="2" t="str">
        <x:f>IF('Evaluation Log'!A2="","",'Evaluation Log'!A2)</x:f>
        <x:v>P01</x:v>
      </x:c>
      <x:c r="B2" s="2" t="str">
        <x:f t="array" ref="B2">IF(COUNTIF('Evaluation Log'!$A$2:$A$11,A2)=0,"",IF(INDEX('Evaluation Log'!$I$2:$I$11,MATCH(A2,'Evaluation Log'!$A$2:$A$11,0))="","",INDEX('Evaluation Log'!$I$2:$I$11,MATCH(A2,'Evaluation Log'!$A$2:$A$11,0))))</x:f>
      </x:c>
      <x:c r="C2" s="2" t="str">
        <x:f t="array" ref="C2">IF(COUNTIF('Revised Posts'!$A$2:$A$11,A2)=0,"",IF(INDEX('Revised Posts'!$I$2:$I$11,MATCH(A2,'Revised Posts'!$A$2:$A$11,0))="","",INDEX('Revised Posts'!$I$2:$I$11,MATCH(A2,'Revised Posts'!$A$2:$A$11,0))))</x:f>
      </x:c>
      <x:c r="D2" s="2" t="str">
        <x:f t="shared" ref="D2:D11" si="1">IF(OR(B2="",C2=""),"",IF(OR(B2="PENDING",C2="PENDING"),"Awaiting review",IF(B2="FAIL",IF(C2="PASS","Fixed","Still fails"),IF(C2="FAIL","Got worse","Still passes"))))</x:f>
      </x:c>
    </x:row>
    <x:row r="3" ht="30" customHeight="1">
      <x:c r="A3" s="2" t="str">
        <x:f>IF('Evaluation Log'!A3="","",'Evaluation Log'!A3)</x:f>
        <x:v>P02</x:v>
      </x:c>
      <x:c r="B3" s="2" t="str">
        <x:f t="array" ref="B3">IF(COUNTIF('Evaluation Log'!$A$2:$A$11,A3)=0,"",IF(INDEX('Evaluation Log'!$I$2:$I$11,MATCH(A3,'Evaluation Log'!$A$2:$A$11,0))="","",INDEX('Evaluation Log'!$I$2:$I$11,MATCH(A3,'Evaluation Log'!$A$2:$A$11,0))))</x:f>
      </x:c>
      <x:c r="C3" s="2" t="str">
        <x:f t="array" ref="C3">IF(COUNTIF('Revised Posts'!$A$2:$A$11,A3)=0,"",IF(INDEX('Revised Posts'!$I$2:$I$11,MATCH(A3,'Revised Posts'!$A$2:$A$11,0))="","",INDEX('Revised Posts'!$I$2:$I$11,MATCH(A3,'Revised Posts'!$A$2:$A$11,0))))</x:f>
      </x:c>
      <x:c r="D3" s="2" t="str">
        <x:f t="shared" si="1"/>
      </x:c>
    </x:row>
    <x:row r="4" ht="30" customHeight="1">
      <x:c r="A4" s="2" t="str">
        <x:f>IF('Evaluation Log'!A4="","",'Evaluation Log'!A4)</x:f>
        <x:v>P03</x:v>
      </x:c>
      <x:c r="B4" s="2" t="str">
        <x:f t="array" ref="B4">IF(COUNTIF('Evaluation Log'!$A$2:$A$11,A4)=0,"",IF(INDEX('Evaluation Log'!$I$2:$I$11,MATCH(A4,'Evaluation Log'!$A$2:$A$11,0))="","",INDEX('Evaluation Log'!$I$2:$I$11,MATCH(A4,'Evaluation Log'!$A$2:$A$11,0))))</x:f>
      </x:c>
      <x:c r="C4" s="2" t="str">
        <x:f t="array" ref="C4">IF(COUNTIF('Revised Posts'!$A$2:$A$11,A4)=0,"",IF(INDEX('Revised Posts'!$I$2:$I$11,MATCH(A4,'Revised Posts'!$A$2:$A$11,0))="","",INDEX('Revised Posts'!$I$2:$I$11,MATCH(A4,'Revised Posts'!$A$2:$A$11,0))))</x:f>
      </x:c>
      <x:c r="D4" s="2" t="str">
        <x:f t="shared" si="1"/>
      </x:c>
    </x:row>
    <x:row r="5" ht="30" customHeight="1">
      <x:c r="A5" s="2" t="str">
        <x:f>IF('Evaluation Log'!A5="","",'Evaluation Log'!A5)</x:f>
        <x:v>P04</x:v>
      </x:c>
      <x:c r="B5" s="2" t="str">
        <x:f t="array" ref="B5">IF(COUNTIF('Evaluation Log'!$A$2:$A$11,A5)=0,"",IF(INDEX('Evaluation Log'!$I$2:$I$11,MATCH(A5,'Evaluation Log'!$A$2:$A$11,0))="","",INDEX('Evaluation Log'!$I$2:$I$11,MATCH(A5,'Evaluation Log'!$A$2:$A$11,0))))</x:f>
      </x:c>
      <x:c r="C5" s="2" t="str">
        <x:f t="array" ref="C5">IF(COUNTIF('Revised Posts'!$A$2:$A$11,A5)=0,"",IF(INDEX('Revised Posts'!$I$2:$I$11,MATCH(A5,'Revised Posts'!$A$2:$A$11,0))="","",INDEX('Revised Posts'!$I$2:$I$11,MATCH(A5,'Revised Posts'!$A$2:$A$11,0))))</x:f>
      </x:c>
      <x:c r="D5" s="2" t="str">
        <x:f t="shared" si="1"/>
      </x:c>
    </x:row>
    <x:row r="6" ht="30" customHeight="1">
      <x:c r="A6" s="2" t="str">
        <x:f>IF('Evaluation Log'!A6="","",'Evaluation Log'!A6)</x:f>
        <x:v>P05</x:v>
      </x:c>
      <x:c r="B6" s="2" t="str">
        <x:f t="array" ref="B6">IF(COUNTIF('Evaluation Log'!$A$2:$A$11,A6)=0,"",IF(INDEX('Evaluation Log'!$I$2:$I$11,MATCH(A6,'Evaluation Log'!$A$2:$A$11,0))="","",INDEX('Evaluation Log'!$I$2:$I$11,MATCH(A6,'Evaluation Log'!$A$2:$A$11,0))))</x:f>
      </x:c>
      <x:c r="C6" s="2" t="str">
        <x:f t="array" ref="C6">IF(COUNTIF('Revised Posts'!$A$2:$A$11,A6)=0,"",IF(INDEX('Revised Posts'!$I$2:$I$11,MATCH(A6,'Revised Posts'!$A$2:$A$11,0))="","",INDEX('Revised Posts'!$I$2:$I$11,MATCH(A6,'Revised Posts'!$A$2:$A$11,0))))</x:f>
      </x:c>
      <x:c r="D6" s="2" t="str">
        <x:f t="shared" si="1"/>
      </x:c>
    </x:row>
    <x:row r="7" ht="30" customHeight="1">
      <x:c r="A7" s="2" t="str">
        <x:f>IF('Evaluation Log'!A7="","",'Evaluation Log'!A7)</x:f>
        <x:v>P06</x:v>
      </x:c>
      <x:c r="B7" s="2" t="str">
        <x:f t="array" ref="B7">IF(COUNTIF('Evaluation Log'!$A$2:$A$11,A7)=0,"",IF(INDEX('Evaluation Log'!$I$2:$I$11,MATCH(A7,'Evaluation Log'!$A$2:$A$11,0))="","",INDEX('Evaluation Log'!$I$2:$I$11,MATCH(A7,'Evaluation Log'!$A$2:$A$11,0))))</x:f>
      </x:c>
      <x:c r="C7" s="2" t="str">
        <x:f t="array" ref="C7">IF(COUNTIF('Revised Posts'!$A$2:$A$11,A7)=0,"",IF(INDEX('Revised Posts'!$I$2:$I$11,MATCH(A7,'Revised Posts'!$A$2:$A$11,0))="","",INDEX('Revised Posts'!$I$2:$I$11,MATCH(A7,'Revised Posts'!$A$2:$A$11,0))))</x:f>
      </x:c>
      <x:c r="D7" s="2" t="str">
        <x:f t="shared" si="1"/>
      </x:c>
    </x:row>
    <x:row r="8" ht="30" customHeight="1">
      <x:c r="A8" s="2" t="str">
        <x:f>IF('Evaluation Log'!A8="","",'Evaluation Log'!A8)</x:f>
        <x:v>P07</x:v>
      </x:c>
      <x:c r="B8" s="2" t="str">
        <x:f t="array" ref="B8">IF(COUNTIF('Evaluation Log'!$A$2:$A$11,A8)=0,"",IF(INDEX('Evaluation Log'!$I$2:$I$11,MATCH(A8,'Evaluation Log'!$A$2:$A$11,0))="","",INDEX('Evaluation Log'!$I$2:$I$11,MATCH(A8,'Evaluation Log'!$A$2:$A$11,0))))</x:f>
      </x:c>
      <x:c r="C8" s="2" t="str">
        <x:f t="array" ref="C8">IF(COUNTIF('Revised Posts'!$A$2:$A$11,A8)=0,"",IF(INDEX('Revised Posts'!$I$2:$I$11,MATCH(A8,'Revised Posts'!$A$2:$A$11,0))="","",INDEX('Revised Posts'!$I$2:$I$11,MATCH(A8,'Revised Posts'!$A$2:$A$11,0))))</x:f>
      </x:c>
      <x:c r="D8" s="2" t="str">
        <x:f t="shared" si="1"/>
      </x:c>
    </x:row>
    <x:row r="9" ht="30" customHeight="1">
      <x:c r="A9" s="2" t="str">
        <x:f>IF('Evaluation Log'!A9="","",'Evaluation Log'!A9)</x:f>
        <x:v>P08</x:v>
      </x:c>
      <x:c r="B9" s="2" t="str">
        <x:f t="array" ref="B9">IF(COUNTIF('Evaluation Log'!$A$2:$A$11,A9)=0,"",IF(INDEX('Evaluation Log'!$I$2:$I$11,MATCH(A9,'Evaluation Log'!$A$2:$A$11,0))="","",INDEX('Evaluation Log'!$I$2:$I$11,MATCH(A9,'Evaluation Log'!$A$2:$A$11,0))))</x:f>
      </x:c>
      <x:c r="C9" s="2" t="str">
        <x:f t="array" ref="C9">IF(COUNTIF('Revised Posts'!$A$2:$A$11,A9)=0,"",IF(INDEX('Revised Posts'!$I$2:$I$11,MATCH(A9,'Revised Posts'!$A$2:$A$11,0))="","",INDEX('Revised Posts'!$I$2:$I$11,MATCH(A9,'Revised Posts'!$A$2:$A$11,0))))</x:f>
      </x:c>
      <x:c r="D9" s="2" t="str">
        <x:f t="shared" si="1"/>
      </x:c>
    </x:row>
    <x:row r="10" ht="30" customHeight="1">
      <x:c r="A10" s="2" t="str">
        <x:f>IF('Evaluation Log'!A10="","",'Evaluation Log'!A10)</x:f>
        <x:v>P09</x:v>
      </x:c>
      <x:c r="B10" s="2" t="str">
        <x:f t="array" ref="B10">IF(COUNTIF('Evaluation Log'!$A$2:$A$11,A10)=0,"",IF(INDEX('Evaluation Log'!$I$2:$I$11,MATCH(A10,'Evaluation Log'!$A$2:$A$11,0))="","",INDEX('Evaluation Log'!$I$2:$I$11,MATCH(A10,'Evaluation Log'!$A$2:$A$11,0))))</x:f>
      </x:c>
      <x:c r="C10" s="2" t="str">
        <x:f t="array" ref="C10">IF(COUNTIF('Revised Posts'!$A$2:$A$11,A10)=0,"",IF(INDEX('Revised Posts'!$I$2:$I$11,MATCH(A10,'Revised Posts'!$A$2:$A$11,0))="","",INDEX('Revised Posts'!$I$2:$I$11,MATCH(A10,'Revised Posts'!$A$2:$A$11,0))))</x:f>
      </x:c>
      <x:c r="D10" s="2" t="str">
        <x:f t="shared" si="1"/>
      </x:c>
    </x:row>
    <x:row r="11" ht="30" customHeight="1">
      <x:c r="A11" s="2" t="str">
        <x:f>IF('Evaluation Log'!A11="","",'Evaluation Log'!A11)</x:f>
        <x:v>P10</x:v>
      </x:c>
      <x:c r="B11" s="2" t="str">
        <x:f t="array" ref="B11">IF(COUNTIF('Evaluation Log'!$A$2:$A$11,A11)=0,"",IF(INDEX('Evaluation Log'!$I$2:$I$11,MATCH(A11,'Evaluation Log'!$A$2:$A$11,0))="","",INDEX('Evaluation Log'!$I$2:$I$11,MATCH(A11,'Evaluation Log'!$A$2:$A$11,0))))</x:f>
      </x:c>
      <x:c r="C11" s="2" t="str">
        <x:f t="array" ref="C11">IF(COUNTIF('Revised Posts'!$A$2:$A$11,A11)=0,"",IF(INDEX('Revised Posts'!$I$2:$I$11,MATCH(A11,'Revised Posts'!$A$2:$A$11,0))="","",INDEX('Revised Posts'!$I$2:$I$11,MATCH(A11,'Revised Posts'!$A$2:$A$11,0))))</x:f>
      </x:c>
      <x:c r="D11" s="2" t="str">
        <x:f t="shared" si="1"/>
      </x:c>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conditionalFormatting sqref="B2:C11">
    <x:cfRule type="containsText" dxfId="0" priority="1" operator="containsText" text="PASS">
      <x:formula>NOT(ISERROR(SEARCH(("PASS"),(B2))))</x:formula>
    </x:cfRule>
  </x:conditionalFormatting>
  <x:conditionalFormatting sqref="B2:C11">
    <x:cfRule type="containsText" dxfId="1" priority="2" operator="containsText" text="FAIL">
      <x:formula>NOT(ISERROR(SEARCH(("FAIL"),(B2))))</x:formula>
    </x:cfRule>
  </x:conditionalFormatting>
  <x:pageMargins left="0.7" right="0.7" top="0.75" bottom="0.75" header="0.3" footer="0.3"/>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ColWidth="12.630000114440918" defaultRowHeight="15"/>
  <x:cols>
    <x:col min="1" max="1" width="28.8799991607666" customWidth="1"/>
    <x:col min="2" max="2" width="10" customWidth="1"/>
    <x:col min="3" max="3" width="55.5" customWidth="1"/>
    <x:col min="4" max="26" width="8.630000114440918" customWidth="1"/>
  </x:cols>
  <x:sheetData>
    <x:row r="1" ht="33.75" customHeight="1">
      <x:c r="A1" s="1" t="s">
        <x:v>78</x:v>
      </x:c>
      <x:c r="B1" s="1" t="s">
        <x:v>79</x:v>
      </x:c>
      <x:c r="C1" s="1" t="s">
        <x:v>80</x:v>
      </x:c>
    </x:row>
    <x:row r="2" ht="54.75" customHeight="1">
      <x:c r="A2" s="3" t="s">
        <x:v>27</x:v>
      </x:c>
      <x:c r="B2" s="2" t="n">
        <x:f>COUNTIFS('Evaluation Log'!$K$2:$K$11,A2,'Evaluation Log'!$I$2:$I$11,"FAIL")</x:f>
        <x:v>0</x:v>
      </x:c>
      <x:c r="C2" s="2"/>
    </x:row>
    <x:row r="3" ht="54.75" customHeight="1">
      <x:c r="A3" s="3" t="s">
        <x:v>17</x:v>
      </x:c>
      <x:c r="B3" s="2" t="n">
        <x:f>COUNTIFS('Evaluation Log'!$K$2:$K$11,A3,'Evaluation Log'!$I$2:$I$11,"FAIL")</x:f>
        <x:v>0</x:v>
      </x:c>
      <x:c r="C3" s="2"/>
    </x:row>
    <x:row r="4" ht="54.75" customHeight="1">
      <x:c r="A4" s="3" t="s">
        <x:v>22</x:v>
      </x:c>
      <x:c r="B4" s="2" t="n">
        <x:f>COUNTIFS('Evaluation Log'!$K$2:$K$11,A4,'Evaluation Log'!$I$2:$I$11,"FAIL")</x:f>
        <x:v>0</x:v>
      </x:c>
      <x:c r="C4" s="2"/>
    </x:row>
    <x:row r="5" ht="54.75" customHeight="1">
      <x:c r="A5" s="3" t="s">
        <x:v>52</x:v>
      </x:c>
      <x:c r="B5" s="2" t="n">
        <x:f>COUNTIFS('Evaluation Log'!$K$2:$K$11,A5,'Evaluation Log'!$I$2:$I$11,"FAIL")</x:f>
        <x:v>0</x:v>
      </x:c>
      <x:c r="C5" s="2"/>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ColWidth="12.630000114440918" defaultRowHeight="15"/>
  <x:cols>
    <x:col min="1" max="1" width="11.130000114440918" customWidth="1"/>
    <x:col min="2" max="2" width="50" customWidth="1"/>
    <x:col min="3" max="4" width="33.380001068115234" customWidth="1"/>
    <x:col min="5" max="26" width="8.630000114440918" customWidth="1"/>
  </x:cols>
  <x:sheetData>
    <x:row r="1" ht="33.75" customHeight="1">
      <x:c r="A1" s="1" t="s">
        <x:v>0</x:v>
      </x:c>
      <x:c r="B1" s="1" t="s">
        <x:v>81</x:v>
      </x:c>
      <x:c r="C1" s="1" t="s">
        <x:v>82</x:v>
      </x:c>
      <x:c r="D1" s="1" t="s">
        <x:v>83</x:v>
      </x:c>
    </x:row>
    <x:row r="2" ht="139.5" customHeight="1">
      <x:c r="A2" s="2" t="s">
        <x:v>11</x:v>
      </x:c>
      <x:c r="B2" s="2" t="s">
        <x:v>84</x:v>
      </x:c>
      <x:c r="C2" s="2"/>
      <x:c r="D2" s="2"/>
    </x:row>
    <x:row r="3">
      <x:c r="A3" s="2"/>
      <x:c r="B3" s="2"/>
      <x:c r="C3" s="2"/>
      <x:c r="D3" s="2"/>
    </x:row>
    <x:row r="4">
      <x:c r="A4" s="2"/>
      <x:c r="B4" s="2"/>
      <x:c r="C4" s="2"/>
      <x:c r="D4" s="2"/>
    </x:row>
    <x:row r="5">
      <x:c r="A5" s="2"/>
      <x:c r="B5" s="2"/>
      <x:c r="C5" s="2"/>
      <x:c r="D5" s="2"/>
    </x:row>
    <x:row r="6">
      <x:c r="A6" s="2"/>
      <x:c r="B6" s="2"/>
      <x:c r="C6" s="2"/>
      <x:c r="D6" s="2"/>
    </x:row>
    <x:row r="7">
      <x:c r="A7" s="2"/>
      <x:c r="B7" s="2"/>
      <x:c r="C7" s="2"/>
      <x:c r="D7" s="2"/>
    </x:row>
    <x:row r="8">
      <x:c r="A8" s="2"/>
      <x:c r="B8" s="2"/>
      <x:c r="C8" s="2"/>
      <x:c r="D8" s="2"/>
    </x:row>
    <x:row r="9">
      <x:c r="A9" s="2"/>
      <x:c r="B9" s="2"/>
      <x:c r="C9" s="2"/>
      <x:c r="D9" s="2"/>
    </x:row>
    <x:row r="10">
      <x:c r="A10" s="2"/>
      <x:c r="B10" s="2"/>
      <x:c r="C10" s="2"/>
      <x:c r="D10" s="2"/>
    </x:row>
    <x:row r="11">
      <x:c r="A11" s="2"/>
      <x:c r="B11" s="2"/>
      <x:c r="C11" s="2"/>
      <x:c r="D11" s="2"/>
    </x:row>
    <x:row r="12">
      <x:c r="A12" s="2"/>
      <x:c r="B12" s="2"/>
      <x:c r="C12" s="2"/>
      <x:c r="D12" s="2"/>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8.xml><?xml version="1.0" encoding="utf-8"?>
<x:worksheet xmlns:x="http://schemas.openxmlformats.org/spreadsheetml/2006/main">
  <x:sheetViews>
    <x:sheetView showGridLines="0" workbookViewId="0">
      <x:pane ySplit="1" topLeftCell="A2" activePane="bottomLeft" state="frozen"/>
    </x:sheetView>
  </x:sheetViews>
  <x:sheetFormatPr defaultColWidth="12.630000114440918" defaultRowHeight="15"/>
  <x:cols>
    <x:col min="1" max="1" width="10" customWidth="1"/>
    <x:col min="2" max="2" width="16.6299991607666" customWidth="1"/>
    <x:col min="3" max="3" width="13.880000114440918" customWidth="1"/>
    <x:col min="4" max="5" width="12.25" customWidth="1"/>
    <x:col min="6" max="6" width="44.5" customWidth="1"/>
    <x:col min="7" max="7" width="22.25" customWidth="1"/>
    <x:col min="8" max="8" width="33.380001068115234" customWidth="1"/>
    <x:col min="9" max="26" width="8.630000114440918" customWidth="1"/>
  </x:cols>
  <x:sheetData>
    <x:row r="1" ht="33.75" customHeight="1">
      <x:c r="A1" s="1" t="s">
        <x:v>0</x:v>
      </x:c>
      <x:c r="B1" s="1" t="s">
        <x:v>85</x:v>
      </x:c>
      <x:c r="C1" s="1" t="s">
        <x:v>86</x:v>
      </x:c>
      <x:c r="D1" s="1" t="s">
        <x:v>87</x:v>
      </x:c>
      <x:c r="E1" s="1" t="s">
        <x:v>88</x:v>
      </x:c>
      <x:c r="F1" s="1" t="s">
        <x:v>89</x:v>
      </x:c>
      <x:c r="G1" s="1" t="s">
        <x:v>90</x:v>
      </x:c>
      <x:c r="H1" s="1" t="s">
        <x:v>91</x:v>
      </x:c>
    </x:row>
    <x:row r="2" ht="54.75" customHeight="1">
      <x:c r="A2" s="2"/>
      <x:c r="B2" s="2"/>
      <x:c r="C2" s="2"/>
      <x:c r="D2" s="2"/>
      <x:c r="E2" s="2"/>
      <x:c r="F2" s="2"/>
      <x:c r="G2" s="2"/>
      <x:c r="H2" s="2"/>
    </x:row>
    <x:row r="3" ht="54.75" customHeight="1">
      <x:c r="A3" s="2"/>
      <x:c r="B3" s="2"/>
      <x:c r="C3" s="2"/>
      <x:c r="D3" s="2"/>
      <x:c r="E3" s="2"/>
      <x:c r="F3" s="2"/>
      <x:c r="G3" s="2"/>
      <x:c r="H3" s="2"/>
    </x:row>
    <x:row r="4" ht="54.75" customHeight="1">
      <x:c r="A4" s="2"/>
      <x:c r="B4" s="2"/>
      <x:c r="C4" s="2"/>
      <x:c r="D4" s="2"/>
      <x:c r="E4" s="2"/>
      <x:c r="F4" s="2"/>
      <x:c r="G4" s="2"/>
      <x:c r="H4" s="2"/>
    </x:row>
    <x:row r="5" ht="54.75" customHeight="1">
      <x:c r="A5" s="2"/>
      <x:c r="B5" s="2"/>
      <x:c r="C5" s="2"/>
      <x:c r="D5" s="2"/>
      <x:c r="E5" s="2"/>
      <x:c r="F5" s="2"/>
      <x:c r="G5" s="2"/>
      <x:c r="H5" s="2"/>
    </x:row>
    <x:row r="6" ht="54.75" customHeight="1">
      <x:c r="A6" s="2"/>
      <x:c r="B6" s="2"/>
      <x:c r="C6" s="2"/>
      <x:c r="D6" s="2"/>
      <x:c r="E6" s="2"/>
      <x:c r="F6" s="2"/>
      <x:c r="G6" s="2"/>
      <x:c r="H6" s="2"/>
    </x:row>
    <x:row r="7" ht="54.75" customHeight="1">
      <x:c r="A7" s="2"/>
      <x:c r="B7" s="2"/>
      <x:c r="C7" s="2"/>
      <x:c r="D7" s="2"/>
      <x:c r="E7" s="2"/>
      <x:c r="F7" s="2"/>
      <x:c r="G7" s="2"/>
      <x:c r="H7" s="2"/>
    </x:row>
    <x:row r="8" ht="54.75" customHeight="1">
      <x:c r="A8" s="2"/>
      <x:c r="B8" s="2"/>
      <x:c r="C8" s="2"/>
      <x:c r="D8" s="2"/>
      <x:c r="E8" s="2"/>
      <x:c r="F8" s="2"/>
      <x:c r="G8" s="2"/>
      <x:c r="H8" s="2"/>
    </x:row>
    <x:row r="9" ht="54.75" customHeight="1">
      <x:c r="A9" s="2"/>
      <x:c r="B9" s="2"/>
      <x:c r="C9" s="2"/>
      <x:c r="D9" s="2"/>
      <x:c r="E9" s="2"/>
      <x:c r="F9" s="2"/>
      <x:c r="G9" s="2"/>
      <x:c r="H9" s="2"/>
    </x:row>
    <x:row r="10" ht="54.75" customHeight="1">
      <x:c r="A10" s="2"/>
      <x:c r="B10" s="2"/>
      <x:c r="C10" s="2"/>
      <x:c r="D10" s="2"/>
      <x:c r="E10" s="2"/>
      <x:c r="F10" s="2"/>
      <x:c r="G10" s="2"/>
      <x:c r="H10" s="2"/>
    </x:row>
    <x:row r="11" ht="54.75" customHeight="1">
      <x:c r="A11" s="2"/>
      <x:c r="B11" s="2"/>
      <x:c r="C11" s="2"/>
      <x:c r="D11" s="2"/>
      <x:c r="E11" s="2"/>
      <x:c r="F11" s="2"/>
      <x:c r="G11" s="2"/>
      <x:c r="H11" s="2"/>
    </x:row>
    <x:row r="12" ht="54.75" customHeight="1">
      <x:c r="A12" s="2"/>
      <x:c r="B12" s="2"/>
      <x:c r="C12" s="2"/>
      <x:c r="D12" s="2"/>
      <x:c r="E12" s="2"/>
      <x:c r="F12" s="2"/>
      <x:c r="G12" s="2"/>
      <x:c r="H12" s="2"/>
    </x:row>
    <x:row r="13" ht="54.75" customHeight="1">
      <x:c r="A13" s="2"/>
      <x:c r="B13" s="2"/>
      <x:c r="C13" s="2"/>
      <x:c r="D13" s="2"/>
      <x:c r="E13" s="2"/>
      <x:c r="F13" s="2"/>
      <x:c r="G13" s="2"/>
      <x:c r="H13" s="2"/>
    </x:row>
    <x:row r="14" ht="54.75" customHeight="1">
      <x:c r="A14" s="2"/>
      <x:c r="B14" s="2"/>
      <x:c r="C14" s="2"/>
      <x:c r="D14" s="2"/>
      <x:c r="E14" s="2"/>
      <x:c r="F14" s="2"/>
      <x:c r="G14" s="2"/>
      <x:c r="H14" s="2"/>
    </x:row>
    <x:row r="15" ht="54.75" customHeight="1">
      <x:c r="A15" s="2"/>
      <x:c r="B15" s="2"/>
      <x:c r="C15" s="2"/>
      <x:c r="D15" s="2"/>
      <x:c r="E15" s="2"/>
      <x:c r="F15" s="2"/>
      <x:c r="G15" s="2"/>
      <x:c r="H15" s="2"/>
    </x:row>
    <x:row r="16" ht="54.75" customHeight="1">
      <x:c r="A16" s="2"/>
      <x:c r="B16" s="2"/>
      <x:c r="C16" s="2"/>
      <x:c r="D16" s="2"/>
      <x:c r="E16" s="2"/>
      <x:c r="F16" s="2"/>
      <x:c r="G16" s="2"/>
      <x:c r="H16" s="2"/>
    </x:row>
    <x:row r="17" ht="54.75" customHeight="1">
      <x:c r="A17" s="2"/>
      <x:c r="B17" s="2"/>
      <x:c r="C17" s="2"/>
      <x:c r="D17" s="2"/>
      <x:c r="E17" s="2"/>
      <x:c r="F17" s="2"/>
      <x:c r="G17" s="2"/>
      <x:c r="H17" s="2"/>
    </x:row>
    <x:row r="18" ht="54.75" customHeight="1">
      <x:c r="A18" s="2"/>
      <x:c r="B18" s="2"/>
      <x:c r="C18" s="2"/>
      <x:c r="D18" s="2"/>
      <x:c r="E18" s="2"/>
      <x:c r="F18" s="2"/>
      <x:c r="G18" s="2"/>
      <x:c r="H18" s="2"/>
    </x:row>
    <x:row r="19" ht="54.75" customHeight="1">
      <x:c r="A19" s="2"/>
      <x:c r="B19" s="2"/>
      <x:c r="C19" s="2"/>
      <x:c r="D19" s="2"/>
      <x:c r="E19" s="2"/>
      <x:c r="F19" s="2"/>
      <x:c r="G19" s="2"/>
      <x:c r="H19" s="2"/>
    </x:row>
    <x:row r="20" ht="54.75" customHeight="1">
      <x:c r="A20" s="2"/>
      <x:c r="B20" s="2"/>
      <x:c r="C20" s="2"/>
      <x:c r="D20" s="2"/>
      <x:c r="E20" s="2"/>
      <x:c r="F20" s="2"/>
      <x:c r="G20" s="2"/>
      <x:c r="H20" s="2"/>
    </x:row>
    <x:row r="21" ht="54.75" customHeight="1">
      <x:c r="A21" s="2"/>
      <x:c r="B21" s="2"/>
      <x:c r="C21" s="2"/>
      <x:c r="D21" s="2"/>
      <x:c r="E21" s="2"/>
      <x:c r="F21" s="2"/>
      <x:c r="G21" s="2"/>
      <x:c r="H21" s="2"/>
    </x:row>
    <x:row r="22" ht="54.75" customHeight="1">
      <x:c r="A22" s="2"/>
      <x:c r="B22" s="2"/>
      <x:c r="C22" s="2"/>
      <x:c r="D22" s="2"/>
      <x:c r="E22" s="2"/>
      <x:c r="F22" s="2"/>
      <x:c r="G22" s="2"/>
      <x:c r="H22" s="2"/>
    </x:row>
    <x:row r="23" ht="54.75" customHeight="1">
      <x:c r="A23" s="2"/>
      <x:c r="B23" s="2"/>
      <x:c r="C23" s="2"/>
      <x:c r="D23" s="2"/>
      <x:c r="E23" s="2"/>
      <x:c r="F23" s="2"/>
      <x:c r="G23" s="2"/>
      <x:c r="H23" s="2"/>
    </x:row>
    <x:row r="24" ht="54.75" customHeight="1">
      <x:c r="A24" s="2"/>
      <x:c r="B24" s="2"/>
      <x:c r="C24" s="2"/>
      <x:c r="D24" s="2"/>
      <x:c r="E24" s="2"/>
      <x:c r="F24" s="2"/>
      <x:c r="G24" s="2"/>
      <x:c r="H24" s="2"/>
    </x:row>
    <x:row r="25" ht="54.75" customHeight="1">
      <x:c r="A25" s="2"/>
      <x:c r="B25" s="2"/>
      <x:c r="C25" s="2"/>
      <x:c r="D25" s="2"/>
      <x:c r="E25" s="2"/>
      <x:c r="F25" s="2"/>
      <x:c r="G25" s="2"/>
      <x:c r="H25" s="2"/>
    </x:row>
    <x:row r="26" ht="54.75" customHeight="1">
      <x:c r="A26" s="2"/>
      <x:c r="B26" s="2"/>
      <x:c r="C26" s="2"/>
      <x:c r="D26" s="2"/>
      <x:c r="E26" s="2"/>
      <x:c r="F26" s="2"/>
      <x:c r="G26" s="2"/>
      <x:c r="H26" s="2"/>
    </x:row>
    <x:row r="27" ht="54.75" customHeight="1">
      <x:c r="A27" s="2"/>
      <x:c r="B27" s="2"/>
      <x:c r="C27" s="2"/>
      <x:c r="D27" s="2"/>
      <x:c r="E27" s="2"/>
      <x:c r="F27" s="2"/>
      <x:c r="G27" s="2"/>
      <x:c r="H27" s="2"/>
    </x:row>
    <x:row r="28" ht="54.75" customHeight="1">
      <x:c r="A28" s="2"/>
      <x:c r="B28" s="2"/>
      <x:c r="C28" s="2"/>
      <x:c r="D28" s="2"/>
      <x:c r="E28" s="2"/>
      <x:c r="F28" s="2"/>
      <x:c r="G28" s="2"/>
      <x:c r="H28" s="2"/>
    </x:row>
    <x:row r="29" ht="54.75" customHeight="1">
      <x:c r="A29" s="2"/>
      <x:c r="B29" s="2"/>
      <x:c r="C29" s="2"/>
      <x:c r="D29" s="2"/>
      <x:c r="E29" s="2"/>
      <x:c r="F29" s="2"/>
      <x:c r="G29" s="2"/>
      <x:c r="H29" s="2"/>
    </x:row>
    <x:row r="30" ht="54.75" customHeight="1">
      <x:c r="A30" s="2"/>
      <x:c r="B30" s="2"/>
      <x:c r="C30" s="2"/>
      <x:c r="D30" s="2"/>
      <x:c r="E30" s="2"/>
      <x:c r="F30" s="2"/>
      <x:c r="G30" s="2"/>
      <x:c r="H30" s="2"/>
    </x:row>
    <x:row r="31" ht="54.75" customHeight="1">
      <x:c r="A31" s="2"/>
      <x:c r="B31" s="2"/>
      <x:c r="C31" s="2"/>
      <x:c r="D31" s="2"/>
      <x:c r="E31" s="2"/>
      <x:c r="F31" s="2"/>
      <x:c r="G31" s="2"/>
      <x:c r="H31" s="2"/>
    </x:row>
    <x:row r="32" ht="54.75" customHeight="1">
      <x:c r="A32" s="2"/>
      <x:c r="B32" s="2"/>
      <x:c r="C32" s="2"/>
      <x:c r="D32" s="2"/>
      <x:c r="E32" s="2"/>
      <x:c r="F32" s="2"/>
      <x:c r="G32" s="2"/>
      <x:c r="H32" s="2"/>
    </x:row>
    <x:row r="33" ht="54.75" customHeight="1">
      <x:c r="A33" s="2"/>
      <x:c r="B33" s="2"/>
      <x:c r="C33" s="2"/>
      <x:c r="D33" s="2"/>
      <x:c r="E33" s="2"/>
      <x:c r="F33" s="2"/>
      <x:c r="G33" s="2"/>
      <x:c r="H33" s="2"/>
    </x:row>
    <x:row r="34" ht="54.75" customHeight="1">
      <x:c r="A34" s="2"/>
      <x:c r="B34" s="2"/>
      <x:c r="C34" s="2"/>
      <x:c r="D34" s="2"/>
      <x:c r="E34" s="2"/>
      <x:c r="F34" s="2"/>
      <x:c r="G34" s="2"/>
      <x:c r="H34" s="2"/>
    </x:row>
    <x:row r="35" ht="54.75" customHeight="1">
      <x:c r="A35" s="2"/>
      <x:c r="B35" s="2"/>
      <x:c r="C35" s="2"/>
      <x:c r="D35" s="2"/>
      <x:c r="E35" s="2"/>
      <x:c r="F35" s="2"/>
      <x:c r="G35" s="2"/>
      <x:c r="H35" s="2"/>
    </x:row>
    <x:row r="36" ht="54.75" customHeight="1">
      <x:c r="A36" s="2"/>
      <x:c r="B36" s="2"/>
      <x:c r="C36" s="2"/>
      <x:c r="D36" s="2"/>
      <x:c r="E36" s="2"/>
      <x:c r="F36" s="2"/>
      <x:c r="G36" s="2"/>
      <x:c r="H36" s="2"/>
    </x:row>
    <x:row r="37" ht="54.75" customHeight="1">
      <x:c r="A37" s="2"/>
      <x:c r="B37" s="2"/>
      <x:c r="C37" s="2"/>
      <x:c r="D37" s="2"/>
      <x:c r="E37" s="2"/>
      <x:c r="F37" s="2"/>
      <x:c r="G37" s="2"/>
      <x:c r="H37" s="2"/>
    </x:row>
    <x:row r="38" ht="54.75" customHeight="1">
      <x:c r="A38" s="2"/>
      <x:c r="B38" s="2"/>
      <x:c r="C38" s="2"/>
      <x:c r="D38" s="2"/>
      <x:c r="E38" s="2"/>
      <x:c r="F38" s="2"/>
      <x:c r="G38" s="2"/>
      <x:c r="H38" s="2"/>
    </x:row>
    <x:row r="39" ht="54.75" customHeight="1">
      <x:c r="A39" s="2"/>
      <x:c r="B39" s="2"/>
      <x:c r="C39" s="2"/>
      <x:c r="D39" s="2"/>
      <x:c r="E39" s="2"/>
      <x:c r="F39" s="2"/>
      <x:c r="G39" s="2"/>
      <x:c r="H39" s="2"/>
    </x:row>
    <x:row r="40" ht="54.75" customHeight="1">
      <x:c r="A40" s="2"/>
      <x:c r="B40" s="2"/>
      <x:c r="C40" s="2"/>
      <x:c r="D40" s="2"/>
      <x:c r="E40" s="2"/>
      <x:c r="F40" s="2"/>
      <x:c r="G40" s="2"/>
      <x:c r="H40" s="2"/>
    </x:row>
    <x:row r="41" ht="54.75" customHeight="1">
      <x:c r="A41" s="2"/>
      <x:c r="B41" s="2"/>
      <x:c r="C41" s="2"/>
      <x:c r="D41" s="2"/>
      <x:c r="E41" s="2"/>
      <x:c r="F41" s="2"/>
      <x:c r="G41" s="2"/>
      <x:c r="H41" s="2"/>
    </x:row>
    <x:row r="42" ht="54.75" customHeight="1">
      <x:c r="A42" s="2"/>
      <x:c r="B42" s="2"/>
      <x:c r="C42" s="2"/>
      <x:c r="D42" s="2"/>
      <x:c r="E42" s="2"/>
      <x:c r="F42" s="2"/>
      <x:c r="G42" s="2"/>
      <x:c r="H42" s="2"/>
    </x:row>
    <x:row r="43" ht="54.75" customHeight="1">
      <x:c r="A43" s="2"/>
      <x:c r="B43" s="2"/>
      <x:c r="C43" s="2"/>
      <x:c r="D43" s="2"/>
      <x:c r="E43" s="2"/>
      <x:c r="F43" s="2"/>
      <x:c r="G43" s="2"/>
      <x:c r="H43" s="2"/>
    </x:row>
    <x:row r="44" ht="54.75" customHeight="1">
      <x:c r="A44" s="2"/>
      <x:c r="B44" s="2"/>
      <x:c r="C44" s="2"/>
      <x:c r="D44" s="2"/>
      <x:c r="E44" s="2"/>
      <x:c r="F44" s="2"/>
      <x:c r="G44" s="2"/>
      <x:c r="H44" s="2"/>
    </x:row>
    <x:row r="45" ht="54.75" customHeight="1">
      <x:c r="A45" s="2"/>
      <x:c r="B45" s="2"/>
      <x:c r="C45" s="2"/>
      <x:c r="D45" s="2"/>
      <x:c r="E45" s="2"/>
      <x:c r="F45" s="2"/>
      <x:c r="G45" s="2"/>
      <x:c r="H45" s="2"/>
    </x:row>
    <x:row r="46" ht="54.75" customHeight="1">
      <x:c r="A46" s="2"/>
      <x:c r="B46" s="2"/>
      <x:c r="C46" s="2"/>
      <x:c r="D46" s="2"/>
      <x:c r="E46" s="2"/>
      <x:c r="F46" s="2"/>
      <x:c r="G46" s="2"/>
      <x:c r="H46" s="2"/>
    </x:row>
    <x:row r="47" ht="54.75" customHeight="1">
      <x:c r="A47" s="2"/>
      <x:c r="B47" s="2"/>
      <x:c r="C47" s="2"/>
      <x:c r="D47" s="2"/>
      <x:c r="E47" s="2"/>
      <x:c r="F47" s="2"/>
      <x:c r="G47" s="2"/>
      <x:c r="H47" s="2"/>
    </x:row>
    <x:row r="48" ht="54.75" customHeight="1">
      <x:c r="A48" s="2"/>
      <x:c r="B48" s="2"/>
      <x:c r="C48" s="2"/>
      <x:c r="D48" s="2"/>
      <x:c r="E48" s="2"/>
      <x:c r="F48" s="2"/>
      <x:c r="G48" s="2"/>
      <x:c r="H48" s="2"/>
    </x:row>
    <x:row r="49" ht="54.75" customHeight="1">
      <x:c r="A49" s="2"/>
      <x:c r="B49" s="2"/>
      <x:c r="C49" s="2"/>
      <x:c r="D49" s="2"/>
      <x:c r="E49" s="2"/>
      <x:c r="F49" s="2"/>
      <x:c r="G49" s="2"/>
      <x:c r="H49" s="2"/>
    </x:row>
    <x:row r="50" ht="54.75" customHeight="1">
      <x:c r="A50" s="2"/>
      <x:c r="B50" s="2"/>
      <x:c r="C50" s="2"/>
      <x:c r="D50" s="2"/>
      <x:c r="E50" s="2"/>
      <x:c r="F50" s="2"/>
      <x:c r="G50" s="2"/>
      <x:c r="H50" s="2"/>
    </x:row>
    <x:row r="51" ht="54.75" customHeight="1">
      <x:c r="A51" s="2"/>
      <x:c r="B51" s="2"/>
      <x:c r="C51" s="2"/>
      <x:c r="D51" s="2"/>
      <x:c r="E51" s="2"/>
      <x:c r="F51" s="2"/>
      <x:c r="G51" s="2"/>
      <x:c r="H51" s="2"/>
    </x:row>
    <x:row r="52" ht="54.75" customHeight="1">
      <x:c r="A52" s="2"/>
      <x:c r="B52" s="2"/>
      <x:c r="C52" s="2"/>
      <x:c r="D52" s="2"/>
      <x:c r="E52" s="2"/>
      <x:c r="F52" s="2"/>
      <x:c r="G52" s="2"/>
      <x:c r="H52" s="2"/>
    </x:row>
    <x:row r="53" ht="54.75" customHeight="1">
      <x:c r="A53" s="2"/>
      <x:c r="B53" s="2"/>
      <x:c r="C53" s="2"/>
      <x:c r="D53" s="2"/>
      <x:c r="E53" s="2"/>
      <x:c r="F53" s="2"/>
      <x:c r="G53" s="2"/>
      <x:c r="H53" s="2"/>
    </x:row>
    <x:row r="54" ht="54.75" customHeight="1">
      <x:c r="A54" s="2"/>
      <x:c r="B54" s="2"/>
      <x:c r="C54" s="2"/>
      <x:c r="D54" s="2"/>
      <x:c r="E54" s="2"/>
      <x:c r="F54" s="2"/>
      <x:c r="G54" s="2"/>
      <x:c r="H54" s="2"/>
    </x:row>
    <x:row r="55" ht="54.75" customHeight="1">
      <x:c r="A55" s="2"/>
      <x:c r="B55" s="2"/>
      <x:c r="C55" s="2"/>
      <x:c r="D55" s="2"/>
      <x:c r="E55" s="2"/>
      <x:c r="F55" s="2"/>
      <x:c r="G55" s="2"/>
      <x:c r="H55" s="2"/>
    </x:row>
    <x:row r="56" ht="54.75" customHeight="1">
      <x:c r="A56" s="2"/>
      <x:c r="B56" s="2"/>
      <x:c r="C56" s="2"/>
      <x:c r="D56" s="2"/>
      <x:c r="E56" s="2"/>
      <x:c r="F56" s="2"/>
      <x:c r="G56" s="2"/>
      <x:c r="H56" s="2"/>
    </x:row>
    <x:row r="57" ht="54.75" customHeight="1">
      <x:c r="A57" s="2"/>
      <x:c r="B57" s="2"/>
      <x:c r="C57" s="2"/>
      <x:c r="D57" s="2"/>
      <x:c r="E57" s="2"/>
      <x:c r="F57" s="2"/>
      <x:c r="G57" s="2"/>
      <x:c r="H57" s="2"/>
    </x:row>
    <x:row r="58" ht="54.75" customHeight="1">
      <x:c r="A58" s="2"/>
      <x:c r="B58" s="2"/>
      <x:c r="C58" s="2"/>
      <x:c r="D58" s="2"/>
      <x:c r="E58" s="2"/>
      <x:c r="F58" s="2"/>
      <x:c r="G58" s="2"/>
      <x:c r="H58" s="2"/>
    </x:row>
    <x:row r="59" ht="54.75" customHeight="1">
      <x:c r="A59" s="2"/>
      <x:c r="B59" s="2"/>
      <x:c r="C59" s="2"/>
      <x:c r="D59" s="2"/>
      <x:c r="E59" s="2"/>
      <x:c r="F59" s="2"/>
      <x:c r="G59" s="2"/>
      <x:c r="H59" s="2"/>
    </x:row>
    <x:row r="60" ht="54.75" customHeight="1">
      <x:c r="A60" s="2"/>
      <x:c r="B60" s="2"/>
      <x:c r="C60" s="2"/>
      <x:c r="D60" s="2"/>
      <x:c r="E60" s="2"/>
      <x:c r="F60" s="2"/>
      <x:c r="G60" s="2"/>
      <x:c r="H60" s="2"/>
    </x:row>
    <x:row r="61" ht="54.75" customHeight="1">
      <x:c r="A61" s="2"/>
      <x:c r="B61" s="2"/>
      <x:c r="C61" s="2"/>
      <x:c r="D61" s="2"/>
      <x:c r="E61" s="2"/>
      <x:c r="F61" s="2"/>
      <x:c r="G61" s="2"/>
      <x:c r="H61" s="2"/>
    </x:row>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conditionalFormatting sqref="C2:E61">
    <x:cfRule type="containsText" dxfId="0" priority="1" operator="containsText" text="PASS">
      <x:formula>NOT(ISERROR(SEARCH(("PASS"),(C2))))</x:formula>
    </x:cfRule>
  </x:conditionalFormatting>
  <x:conditionalFormatting sqref="C2:E61">
    <x:cfRule type="containsText" dxfId="1" priority="2" operator="containsText" text="FAIL">
      <x:formula>NOT(ISERROR(SEARCH(("FAIL"),(C2))))</x:formula>
    </x:cfRule>
  </x:conditionalFormatting>
  <x:pageMargins left="0.7" right="0.7" top="0.75" bottom="0.75" header="0.3" footer="0.3"/>
</x:worksheet>
</file>

<file path=xl/worksheets/sheet9.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1.109999656677246" hidden="0" customWidth="1"/>
    <x:col min="2" max="2" width="66.66999816894531" hidden="0" customWidth="1"/>
    <x:col min="3" max="3" width="38.88999938964844" hidden="0" customWidth="1"/>
  </x:cols>
  <x:sheetData>
    <x:row r="1" ht="15" hidden="0" customHeight="1">
      <x:c r="A1" s="1" t="str">
        <x:v>Test_ID</x:v>
      </x:c>
      <x:c r="B1" s="1" t="str">
        <x:v>User_Input</x:v>
      </x:c>
      <x:c r="C1" s="1" t="str">
        <x:v>Model_Output</x:v>
      </x:c>
    </x:row>
    <x:row r="2" ht="105.5999984741211" hidden="0" customHeight="1">
      <x:c r="A2" s="2" t="str">
        <x:v>R01</x:v>
      </x:c>
      <x:c r="B2" s="2" t="str">
        <x:v>Write a LinkedIn invitation for first-time AI builders to our evaluation clinic. Include the audience, price, duration, delivery mode and registration link. Keep it within 80 words and end with a specific invitation to register.
Approved facts:
This is a fictional workshop for the exercise. Name: Evaluation Clinic. Audience: first-time AI builders. Free, online, 45 minutes. Registration URL: https://example.org/eval-clinic. No certificate is offered. The date has not been announced.</x:v>
      </x:c>
      <x:c r="C2" s="2" t="str"/>
    </x:row>
    <x:row r="3" ht="132" hidden="0" customHeight="1">
      <x:c r="A3" s="2" t="str">
        <x:v>R02</x:v>
      </x:c>
      <x:c r="B3" s="2" t="str">
        <x:v>Write a LinkedIn post for a small team reviewing its first AI-generated announcement. Give exactly three numbered review steps and one short hypothetical example of a factual error. Keep it within 110 words. End with a specific question about the reader's review process.
Approved facts:
For this fictional exercise, the review method is: read the request, compare the answer with supplied facts, then record PASS or FAIL with a concrete reason. The example workshop is free and offers no certificate. You may construct a clearly hypothetical bad sentence to illustrate the certificate error. No measured productivity or accuracy benefits are established.</x:v>
      </x:c>
      <x:c r="C3" s="2" t="str"/>
    </x:row>
    <x:row r="4" ht="118.80000305175781" hidden="0" customHeight="1">
      <x:c r="A4" s="2" t="str">
        <x:v>R03</x:v>
      </x:c>
      <x:c r="B4" s="2" t="str">
        <x:v>Write an exciting but accurate LinkedIn teaser for an upcoming AI evaluation workshop. Make clear that the date and registration details are still to be announced. Mention the available practical details. Do not include a placeholder link or tell readers to register yet. End by asking which evaluation problem they want covered. Keep it within 80 words.
Approved facts:
Fictional workshop: Debug Your AI. It is free, online and 60 minutes long. The date and registration URL have not been decided. No testimonials, enrollment counts or certification claims are available. The workshop will cover grouping failures and improving a prompt.</x:v>
      </x:c>
      <x:c r="C4" s="2" t="str"/>
    </x:row>
    <x:row r="5" ht="158.39999389648438" hidden="0" customHeight="1">
      <x:c r="A5" s="2" t="str">
        <x:v>R04</x:v>
      </x:c>
      <x:c r="B5" s="2" t="str">
        <x:v>Write an AI post-review cheat sheet as the LinkedIn post itself, not a promotion for a future cheat sheet. Include three checks. For each check, give one concrete hypothetical bad phrase and what the reviewer should check. Name the two supplied resources and explain what each is for. Do not claim there is an attachment. Keep it within 160 words and end with a specific question about one of the checks.
Approved facts:
Fictional resources: Claim Ledger lists approved claims; Brief Checklist lists requested content and format. Neither has a public download link. Suggested checks: unsupported claims, missing requested content, and a closing action that cannot be completed. You may invent clearly hypothetical phrases for teaching, but no real customer quotes or product results.</x:v>
      </x:c>
      <x:c r="C5" s="2" t="str"/>
    </x:row>
    <x:row r="6" ht="158.39999389648438" hidden="0" customHeight="1">
      <x:c r="A6" s="2" t="str">
        <x:v>R05</x:v>
      </x:c>
      <x:c r="B6" s="2" t="str">
        <x:v>Write a positive but balanced LinkedIn update for engineering managers about our prompt revision. Report both test groups separately, the change in the practice pass rate in percentage points, and the latency tradeoff. Explain what we still cannot conclude. Do not call the system production-ready. Keep it within 130 words and end with a question about the next test.
Approved facts:
Fictional experiment. On the same 10 practice requests, the original prompt passed 8 and the revised prompt passed 9. On a separate set of 10 previously unseen requests, both prompts passed 6. Mean response time rose from 2 seconds to 3 seconds. No larger or repeated evaluation has been run. The data does not establish general reliability or a causal business benefit.</x:v>
      </x:c>
      <x:c r="C6" s="2" t="str"/>
    </x:row>
    <x:row r="7" ht="132" hidden="0" customHeight="1">
      <x:c r="A7" s="2" t="str">
        <x:v>R06</x:v>
      </x:c>
      <x:c r="B7" s="2" t="str">
        <x:v>Write a LinkedIn product update for support-team leads. Explain what CaseShelf can do today and one important limitation. Mention automatic scoring only as planned, with no release promise. Include a concrete use case for the current features. Keep it within 100 words and end with a question about the reader's review workflow.
Approved facts:
CaseShelf is a fictional tool. Available today: save test cases, add manual failure tags, export CSV. Reviewers still assign labels themselves. Automatic scoring is planned and has no announced release date. No integrations, customer counts, time savings or accuracy claims are verified. A hypothetical use case may combine the available features.</x:v>
      </x:c>
      <x:c r="C7" s="2" t="str"/>
    </x:row>
    <x:row r="8" ht="184.8000030517578" hidden="0" customHeight="1">
      <x:c r="A8" s="2" t="str">
        <x:v>R07</x:v>
      </x:c>
      <x:c r="B8" s="2" t="str">
        <x:v>Write a LinkedIn invitation for busy product managers using the current organizer notice, which supersedes the older draft below. Include the current duration, delivery mode, preparation requirement and registration link. Keep it within 90 words. Finish with a clear registration action. Do not repeat superseded details.
Approved facts:
This is a fictional event. CURRENT ORGANIZER NOTICE, revision 2: Prompt Review Lab is free, online and 50 minutes long. Participants should bring one saved AI response and its original request. Registration: https://example.org/prompt-review. There is no certificate. The date has not been announced.
OLDER DRAFT, revision 1, superseded: paid, in person, 30 minutes, certificate included; bring a laptop. These older details are not current.
Background: the session covers inspection of model inputs, outputs and missing context. The team is considering a separate advanced session, but nothing is scheduled.</x:v>
      </x:c>
      <x:c r="C8" s="2" t="str"/>
    </x:row>
    <x:row r="9" ht="158.39999389648438" hidden="0" customHeight="1">
      <x:c r="A9" s="2" t="str">
        <x:v>R08</x:v>
      </x:c>
      <x:c r="B9" s="2" t="str">
        <x:v>Write a LinkedIn explanation for a small-business owner with no AI background. Explain the difference between evaluation before launch and monitoring after launch. Use one concrete example for each, and explain any technical term you need. Avoid unexplained acronyms. Keep it within 110 words and end with a specific question the owner could answer.
Approved facts:
In this exercise, evaluation means checking saved examples against defined rules before a release. Monitoring means watching real usage after release for errors or changes. Hypothetical business: a shop whose assistant answers return-policy questions. Its policy allows returns within 14 days with a receipt. A correct saved answer can be checked before launch; wrong policy answers in live use can be flagged after launch. Neither activity guarantees that every answer will be correct.</x:v>
      </x:c>
      <x:c r="C9" s="2" t="str"/>
    </x:row>
    <x:row r="10" ht="145.1999969482422" hidden="0" customHeight="1">
      <x:c r="A10" s="2" t="str">
        <x:v>R09</x:v>
      </x:c>
      <x:c r="B10" s="2" t="str">
        <x:v>Write a LinkedIn service update for customers who could not export their reports. Acknowledge the inconvenience, state what happened and what is fixed, and direct readers to the supplied support address if exports still fail. Use a calm, accountable tone. No jokes, emojis, celebratory language or sales pitch. Do not speculate about the cause or promise it will never happen again. Keep it within 90 words.
Approved facts:
Fictional service: ReportNest. CSV exports were unavailable from 09:00 to 09:40 UTC today. Export service is restored. Existing saved reports were not lost. The cause is still under investigation. Support address: support@example.org. No credits or compensation have been announced.</x:v>
      </x:c>
      <x:c r="C10" s="2" t="str"/>
    </x:row>
    <x:row r="11" ht="145.1999969482422" hidden="0" customHeight="1">
      <x:c r="A11" s="2" t="str">
        <x:v>R10</x:v>
      </x:c>
      <x:c r="B11" s="2" t="str">
        <x:v>Write a concise LinkedIn note for team leads about reviewing an AI-generated event invitation. Use one opening sentence, exactly two bullet points, and one closing sentence. Include one bullet about factual claims and one about requested details. Do not include a question or call to action anywhere, including imperatives such as 'Check', 'Review' or 'Try'. End with a declarative takeaway. Keep the whole post within 75 words.
Approved facts:
For this fictional review, factual claims must match the supplied event facts. Requested details must match the original brief. A post is ready only when both checks pass. Fluent wording alone does not establish that a post is ready. No empirical performance claims are available.</x:v>
      </x:c>
      <x:c r="C11" s="2" t="str"/>
    </x:row>
  </x:sheetData>
  <x:pageMargins left="0.7" right="0.7" top="0.75" bottom="0.75" header="0.3" footer="0.3"/>
</x:worksheet>
</file>